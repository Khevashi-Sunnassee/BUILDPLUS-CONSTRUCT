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reconmanagement.sharepoint.com/sites/Trecon/Shared Documents/03 LTE Active Jobs/01 Project Administration/zzz. PM documents/Reports/2026/1. January/"/>
    </mc:Choice>
  </mc:AlternateContent>
  <xr:revisionPtr revIDLastSave="498" documentId="13_ncr:1_{96E4DDD4-3667-4AE1-8EBC-5512DD20ACD1}" xr6:coauthVersionLast="47" xr6:coauthVersionMax="47" xr10:uidLastSave="{E4766A5F-4294-40CD-8E95-99BBFC49C55B}"/>
  <bookViews>
    <workbookView xWindow="-120" yWindow="-120" windowWidth="29040" windowHeight="15720" xr2:uid="{2E9CB722-C48C-44F7-BF88-CFED82E54CA7}"/>
  </bookViews>
  <sheets>
    <sheet name="Queensland" sheetId="5" r:id="rId1"/>
    <sheet name="Victoria" sheetId="3" r:id="rId2"/>
    <sheet name="Summary" sheetId="6" r:id="rId3"/>
    <sheet name="Data" sheetId="2" state="hidden" r:id="rId4"/>
  </sheets>
  <definedNames>
    <definedName name="ExternalData_1" localSheetId="2" hidden="1">Summary!$A$4:$E$94</definedName>
    <definedName name="ExternalData_2" localSheetId="2" hidden="1">Summary!$G$4:$K$40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6" l="1"/>
  <c r="J40" i="6"/>
  <c r="K40" i="6"/>
  <c r="D66" i="5"/>
  <c r="D93" i="5"/>
  <c r="E66" i="5"/>
  <c r="D8" i="5" l="1"/>
  <c r="C93" i="5"/>
  <c r="C66" i="5" l="1"/>
  <c r="D4" i="5" s="1"/>
  <c r="E94" i="6"/>
  <c r="D94" i="6"/>
  <c r="B94" i="6"/>
  <c r="D4" i="3" l="1"/>
  <c r="E58" i="3" l="1"/>
  <c r="D58" i="3"/>
  <c r="C75" i="3"/>
  <c r="C58" i="3"/>
  <c r="D75" i="3"/>
  <c r="E75" i="3"/>
  <c r="E93" i="5"/>
  <c r="D8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1874CF-E5E2-4366-B344-88DE41025EB6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FEBB57EB-92FF-43E5-AEB8-135F98DC6FE9}" keepAlive="1" name="Query - Append2" description="Connection to the 'Append2' query in the workbook." type="5" refreshedVersion="0" background="1" saveData="1">
    <dbPr connection="Provider=Microsoft.Mashup.OleDb.1;Data Source=$Workbook$;Location=Append2;Extended Properties=&quot;&quot;" command="SELECT * FROM [Append2]"/>
  </connection>
  <connection id="3" xr16:uid="{05FB7419-DB7E-4888-BD94-1BDF1EA9CA71}" keepAlive="1" name="Query - Append3" description="Connection to the 'Append3' query in the workbook." type="5" refreshedVersion="8" background="1" saveData="1">
    <dbPr connection="Provider=Microsoft.Mashup.OleDb.1;Data Source=$Workbook$;Location=Append3;Extended Properties=&quot;&quot;" command="SELECT * FROM [Append3]"/>
  </connection>
  <connection id="4" xr16:uid="{0C6C4689-AD98-444C-9044-2952225DB17D}" keepAlive="1" name="Query - Queensland_cubes" description="Connection to the 'Queensland_cubes' query in the workbook." type="5" refreshedVersion="0" background="1">
    <dbPr connection="Provider=Microsoft.Mashup.OleDb.1;Data Source=$Workbook$;Location=Queensland_cubes;Extended Properties=&quot;&quot;" command="SELECT * FROM [Queensland_cubes]"/>
  </connection>
  <connection id="5" xr16:uid="{47C589D4-1584-4C80-8C0B-DED7DDCCD00B}" keepAlive="1" name="Query - Queensland_flat" description="Connection to the 'Queensland_flat' query in the workbook." type="5" refreshedVersion="0" background="1">
    <dbPr connection="Provider=Microsoft.Mashup.OleDb.1;Data Source=$Workbook$;Location=Queensland_flat;Extended Properties=&quot;&quot;" command="SELECT * FROM [Queensland_flat]"/>
  </connection>
  <connection id="6" xr16:uid="{66A79EAE-29F8-4A44-BAB6-AA03BB55A46C}" keepAlive="1" name="Query - Victoria_cubes" description="Connection to the 'Victoria_cubes' query in the workbook." type="5" refreshedVersion="0" background="1">
    <dbPr connection="Provider=Microsoft.Mashup.OleDb.1;Data Source=$Workbook$;Location=Victoria_cubes;Extended Properties=&quot;&quot;" command="SELECT * FROM [Victoria_cubes]"/>
  </connection>
  <connection id="7" xr16:uid="{725085BC-FAE2-4A1F-BF8D-1C8B0061165B}" keepAlive="1" name="Query - Victoria_flat" description="Connection to the 'Victoria_flat' query in the workbook." type="5" refreshedVersion="0" background="1">
    <dbPr connection="Provider=Microsoft.Mashup.OleDb.1;Data Source=$Workbook$;Location=Victoria_flat;Extended Properties=&quot;&quot;" command="SELECT * FROM [Victoria_flat]"/>
  </connection>
</connections>
</file>

<file path=xl/sharedStrings.xml><?xml version="1.0" encoding="utf-8"?>
<sst xmlns="http://schemas.openxmlformats.org/spreadsheetml/2006/main" count="260" uniqueCount="101">
  <si>
    <t>Summary</t>
  </si>
  <si>
    <t>Total Panels</t>
  </si>
  <si>
    <t>Total Cube Bases</t>
  </si>
  <si>
    <t>Total Cube Rings</t>
  </si>
  <si>
    <t>Total m3</t>
  </si>
  <si>
    <t>FLAT PANELS</t>
  </si>
  <si>
    <t>Project ID</t>
  </si>
  <si>
    <t>Panel ID</t>
  </si>
  <si>
    <t>Panel Type</t>
  </si>
  <si>
    <t>Volume (m3)</t>
  </si>
  <si>
    <t>Area (m2)</t>
  </si>
  <si>
    <t>Total</t>
  </si>
  <si>
    <t>CUBES</t>
  </si>
  <si>
    <t xml:space="preserve">Comments:  </t>
  </si>
  <si>
    <t>Days</t>
  </si>
  <si>
    <t>Panel Type - Cube</t>
  </si>
  <si>
    <t>Monday</t>
  </si>
  <si>
    <t xml:space="preserve">Ring </t>
  </si>
  <si>
    <t>Tuesday</t>
  </si>
  <si>
    <t>Base</t>
  </si>
  <si>
    <t>Wednesday</t>
  </si>
  <si>
    <t>Thursday</t>
  </si>
  <si>
    <t>Friday</t>
  </si>
  <si>
    <t xml:space="preserve">Saturday </t>
  </si>
  <si>
    <t>Projects</t>
  </si>
  <si>
    <t>Projets - Cubes</t>
  </si>
  <si>
    <t>LTEQ020 - BRUNSWICK ST</t>
  </si>
  <si>
    <t xml:space="preserve"> LTEQ045 - Multiplex Coomera Hospital </t>
  </si>
  <si>
    <t>LTEQ021 - LUXE</t>
  </si>
  <si>
    <t xml:space="preserve"> LTEQ049 - Brisbane Airport </t>
  </si>
  <si>
    <t xml:space="preserve">LTEQ030 - SEAWORLD </t>
  </si>
  <si>
    <t xml:space="preserve"> LTEQ054 - Logan Hospital </t>
  </si>
  <si>
    <t>LTEQ031 - Next DC</t>
  </si>
  <si>
    <t xml:space="preserve"> LTEQ056 - Griffith University </t>
  </si>
  <si>
    <t>LTEQ032 - LAANI</t>
  </si>
  <si>
    <t xml:space="preserve"> LTEQ073 - Kapitol Next DC Darwin</t>
  </si>
  <si>
    <t>LTEQ034 - MONARCH</t>
  </si>
  <si>
    <t xml:space="preserve"> LTEQ000-Swinburne University</t>
  </si>
  <si>
    <t>LTEQ040 - ODYSSEY</t>
  </si>
  <si>
    <t>LTEQ041 - RADCLIFFE</t>
  </si>
  <si>
    <t>LTEQ043 - Wrarf Street</t>
  </si>
  <si>
    <t xml:space="preserve">LTEQ045 - Multiplex Coomera Hospital </t>
  </si>
  <si>
    <t>LTEQ046 - NEXUS</t>
  </si>
  <si>
    <t xml:space="preserve">LTEQ049 - Brisbane Airport </t>
  </si>
  <si>
    <t>LTEQ050 - Skye Apartments</t>
  </si>
  <si>
    <t>LTEQ051 -Aniko Orama</t>
  </si>
  <si>
    <t>LTEQ052 - BGG</t>
  </si>
  <si>
    <t>LTEQ053 - Woodford Youth Detention Centre</t>
  </si>
  <si>
    <t xml:space="preserve">LTEQ054 - Logan Hospital </t>
  </si>
  <si>
    <t xml:space="preserve">LTEQ056 - Griffith University </t>
  </si>
  <si>
    <t xml:space="preserve">LTEQ057 - Arcadia </t>
  </si>
  <si>
    <t>LTEQ058 - Built QEII</t>
  </si>
  <si>
    <t>LTE Q061 - Torre Developments Italian Club</t>
  </si>
  <si>
    <t>LTE Q062 - Murcia</t>
  </si>
  <si>
    <t>LTEQ064 - Kapitol Next DC M3</t>
  </si>
  <si>
    <t>LTEQ067 - Alliance self Storage</t>
  </si>
  <si>
    <t>LTEQ065 - LPS Flourish</t>
  </si>
  <si>
    <t>LTEQ000 - Emerald Place</t>
  </si>
  <si>
    <t>LTEQ073 - Kapitol Next DC D1 Darwin</t>
  </si>
  <si>
    <t>LTEQ000 - Swinburne University Mast test 2</t>
  </si>
  <si>
    <t>QLD</t>
  </si>
  <si>
    <t>VIC</t>
  </si>
  <si>
    <t>PRODUCTION REPORT -  VIC</t>
  </si>
  <si>
    <t>Total Landing Walls</t>
  </si>
  <si>
    <t>Total Cube Center Walls</t>
  </si>
  <si>
    <t>PRODUCTION REPORT -  QLD</t>
  </si>
  <si>
    <t>LTEQ051 - Orama-Aniko</t>
  </si>
  <si>
    <t>WALL</t>
  </si>
  <si>
    <t>LTEQ063 - Buildcorp Carseldine</t>
  </si>
  <si>
    <t>COLUMN</t>
  </si>
  <si>
    <t>LTEQ062 - Hutchies Murcia</t>
  </si>
  <si>
    <t>LTEQ043 - HUT 185 Wharf St</t>
  </si>
  <si>
    <t>LTEQ058 - Built QEII Hospital (CSB)</t>
  </si>
  <si>
    <t>LTEQ066 - Hutchies Seaglass</t>
  </si>
  <si>
    <t>Saturday</t>
  </si>
  <si>
    <t>LTEQ061 -Torre Developments - 10 Wyandra st</t>
  </si>
  <si>
    <t>12-P24</t>
  </si>
  <si>
    <t>G-C100</t>
  </si>
  <si>
    <t>G-C101</t>
  </si>
  <si>
    <t>G-C102</t>
  </si>
  <si>
    <t>G-C96</t>
  </si>
  <si>
    <t>G-C97</t>
  </si>
  <si>
    <t>G-C98</t>
  </si>
  <si>
    <t>G-C99</t>
  </si>
  <si>
    <t>L14-P53</t>
  </si>
  <si>
    <t>L14-P55</t>
  </si>
  <si>
    <t>L14-P73</t>
  </si>
  <si>
    <t>L14-P74</t>
  </si>
  <si>
    <t>L7-P10</t>
  </si>
  <si>
    <t>L7-P16</t>
  </si>
  <si>
    <t>L7-P17</t>
  </si>
  <si>
    <t>L7-P18</t>
  </si>
  <si>
    <t>L7-P19</t>
  </si>
  <si>
    <t>15-X10</t>
  </si>
  <si>
    <t>L6P13</t>
  </si>
  <si>
    <t>L6P18</t>
  </si>
  <si>
    <t>L6P25</t>
  </si>
  <si>
    <t>L6P37</t>
  </si>
  <si>
    <t>L6P38</t>
  </si>
  <si>
    <t>L3-P45A</t>
  </si>
  <si>
    <t>L3-C01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</si>
</sst>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4" xfId="0" applyBorder="1"/>
    <xf numFmtId="0" fontId="4" fillId="0" borderId="0" xfId="0" applyFont="1"/>
    <xf numFmtId="0" fontId="0" fillId="0" borderId="3" xfId="0" applyBorder="1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14" fontId="7" fillId="0" borderId="0" xfId="0" applyNumberFormat="1" applyFont="1" applyAlignment="1">
      <alignment horizontal="left"/>
    </xf>
    <xf numFmtId="0" fontId="0" fillId="0" borderId="3" xfId="0" applyBorder="1" applyAlignment="1">
      <alignment vertical="center" wrapText="1"/>
    </xf>
    <xf numFmtId="0" fontId="0" fillId="0" borderId="2" xfId="0" applyBorder="1"/>
    <xf numFmtId="0" fontId="0" fillId="0" borderId="5" xfId="0" applyBorder="1"/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1" xfId="0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center" vertical="center" wrapText="1"/>
    </xf>
    <xf numFmtId="1" fontId="0" fillId="0" borderId="4" xfId="0" applyNumberFormat="1" applyBorder="1"/>
    <xf numFmtId="2" fontId="0" fillId="0" borderId="4" xfId="0" applyNumberFormat="1" applyBorder="1"/>
    <xf numFmtId="0" fontId="0" fillId="0" borderId="1" xfId="1" applyFont="1" applyBorder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1" fillId="3" borderId="0" xfId="0" applyFont="1" applyFill="1" applyAlignment="1">
      <alignment horizontal="left" vertical="center"/>
    </xf>
    <xf numFmtId="0" fontId="0" fillId="0" borderId="18" xfId="0" applyBorder="1" applyAlignment="1">
      <alignment vertical="center" wrapText="1"/>
    </xf>
    <xf numFmtId="0" fontId="0" fillId="0" borderId="18" xfId="1" applyFont="1" applyBorder="1"/>
    <xf numFmtId="0" fontId="1" fillId="3" borderId="14" xfId="0" applyFont="1" applyFill="1" applyBorder="1" applyAlignment="1">
      <alignment horizontal="left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23" xfId="0" applyBorder="1"/>
    <xf numFmtId="0" fontId="5" fillId="0" borderId="1" xfId="1" applyBorder="1"/>
    <xf numFmtId="0" fontId="0" fillId="0" borderId="20" xfId="0" applyBorder="1"/>
    <xf numFmtId="0" fontId="0" fillId="0" borderId="19" xfId="1" applyFont="1" applyBorder="1"/>
    <xf numFmtId="0" fontId="5" fillId="0" borderId="18" xfId="1" applyBorder="1"/>
    <xf numFmtId="0" fontId="5" fillId="0" borderId="21" xfId="1" applyBorder="1"/>
    <xf numFmtId="0" fontId="0" fillId="0" borderId="24" xfId="0" applyBorder="1"/>
    <xf numFmtId="0" fontId="0" fillId="0" borderId="25" xfId="0" applyBorder="1"/>
    <xf numFmtId="0" fontId="0" fillId="0" borderId="29" xfId="0" applyBorder="1"/>
    <xf numFmtId="0" fontId="5" fillId="0" borderId="25" xfId="1" applyBorder="1"/>
    <xf numFmtId="0" fontId="0" fillId="0" borderId="30" xfId="0" applyBorder="1"/>
    <xf numFmtId="0" fontId="1" fillId="0" borderId="26" xfId="0" applyFont="1" applyBorder="1"/>
    <xf numFmtId="0" fontId="0" fillId="0" borderId="27" xfId="0" applyBorder="1"/>
    <xf numFmtId="2" fontId="0" fillId="0" borderId="28" xfId="0" applyNumberFormat="1" applyBorder="1"/>
    <xf numFmtId="43" fontId="0" fillId="0" borderId="1" xfId="2" applyFont="1" applyBorder="1" applyAlignment="1">
      <alignment horizontal="center" vertical="center"/>
    </xf>
    <xf numFmtId="0" fontId="0" fillId="0" borderId="0" xfId="1" applyFont="1"/>
    <xf numFmtId="0" fontId="0" fillId="0" borderId="32" xfId="0" applyBorder="1"/>
    <xf numFmtId="0" fontId="3" fillId="0" borderId="0" xfId="0" applyFont="1"/>
    <xf numFmtId="43" fontId="0" fillId="2" borderId="1" xfId="2" applyFont="1" applyFill="1" applyBorder="1"/>
    <xf numFmtId="43" fontId="0" fillId="2" borderId="2" xfId="2" applyFont="1" applyFill="1" applyBorder="1"/>
    <xf numFmtId="43" fontId="0" fillId="0" borderId="1" xfId="2" applyFont="1" applyBorder="1"/>
    <xf numFmtId="43" fontId="0" fillId="0" borderId="2" xfId="2" applyFont="1" applyBorder="1"/>
    <xf numFmtId="43" fontId="0" fillId="2" borderId="5" xfId="0" applyNumberFormat="1" applyFill="1" applyBorder="1"/>
    <xf numFmtId="2" fontId="0" fillId="0" borderId="1" xfId="0" applyNumberFormat="1" applyBorder="1"/>
    <xf numFmtId="43" fontId="0" fillId="2" borderId="4" xfId="0" applyNumberFormat="1" applyFill="1" applyBorder="1"/>
    <xf numFmtId="43" fontId="0" fillId="0" borderId="1" xfId="2" applyFont="1" applyFill="1" applyBorder="1" applyAlignment="1">
      <alignment horizontal="center" vertical="center"/>
    </xf>
    <xf numFmtId="0" fontId="3" fillId="0" borderId="33" xfId="0" applyFont="1" applyBorder="1"/>
    <xf numFmtId="0" fontId="0" fillId="0" borderId="28" xfId="0" applyBorder="1"/>
    <xf numFmtId="0" fontId="0" fillId="0" borderId="1" xfId="2" applyNumberFormat="1" applyFont="1" applyFill="1" applyBorder="1" applyAlignment="1">
      <alignment horizontal="center" vertical="center"/>
    </xf>
    <xf numFmtId="2" fontId="0" fillId="2" borderId="12" xfId="0" applyNumberFormat="1" applyFill="1" applyBorder="1"/>
    <xf numFmtId="2" fontId="0" fillId="2" borderId="1" xfId="0" applyNumberForma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4" xfId="0" applyFill="1" applyBorder="1"/>
    <xf numFmtId="43" fontId="0" fillId="2" borderId="1" xfId="3" applyFont="1" applyFill="1" applyBorder="1"/>
    <xf numFmtId="43" fontId="0" fillId="0" borderId="1" xfId="3" applyFont="1" applyBorder="1"/>
    <xf numFmtId="0" fontId="0" fillId="0" borderId="1" xfId="0" applyBorder="1" applyAlignment="1">
      <alignment horizontal="center"/>
    </xf>
    <xf numFmtId="43" fontId="0" fillId="0" borderId="1" xfId="3" applyFont="1" applyFill="1" applyBorder="1" applyAlignment="1">
      <alignment horizontal="center" vertical="center"/>
    </xf>
    <xf numFmtId="43" fontId="0" fillId="0" borderId="4" xfId="3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43" fontId="0" fillId="0" borderId="1" xfId="3" applyFont="1" applyBorder="1" applyAlignment="1">
      <alignment horizontal="center" vertical="center"/>
    </xf>
    <xf numFmtId="43" fontId="0" fillId="2" borderId="1" xfId="3" applyFont="1" applyFill="1" applyBorder="1" applyAlignment="1">
      <alignment horizontal="center" vertical="center"/>
    </xf>
    <xf numFmtId="43" fontId="0" fillId="2" borderId="1" xfId="2" applyFont="1" applyFill="1" applyBorder="1" applyAlignment="1">
      <alignment horizontal="center" vertical="center"/>
    </xf>
    <xf numFmtId="0" fontId="0" fillId="0" borderId="9" xfId="1" applyFont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">
    <cellStyle name="Comma" xfId="2" builtinId="3"/>
    <cellStyle name="Comma 2" xfId="3" xr:uid="{A477A066-B382-400C-9EA0-24EA76A8BB05}"/>
    <cellStyle name="Normal" xfId="0" builtinId="0"/>
    <cellStyle name="Normal 6" xfId="1" xr:uid="{A8E95506-C7E3-4DEB-B1C6-BE4A6391683F}"/>
  </cellStyles>
  <dxfs count="63">
    <dxf>
      <border diagonalUp="0" diagonalDown="0" outline="0">
        <left style="thin">
          <color indexed="64"/>
        </left>
        <right/>
        <top style="thin">
          <color rgb="FF000000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/>
        <top style="thin">
          <color rgb="FF000000"/>
        </top>
        <bottom/>
      </border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35" formatCode="_-* #,##0.00_-;\-* #,##0.00_-;_-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D9D9D9"/>
          <bgColor rgb="FFD9D9D9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D33031-831E-4F97-9CB9-D3C2D509C51C}" autoFormatId="16" applyNumberFormats="0" applyBorderFormats="0" applyFontFormats="0" applyPatternFormats="0" applyAlignmentFormats="0" applyWidthHeightFormats="0">
  <queryTableRefresh nextId="6">
    <queryTableFields count="5">
      <queryTableField id="1" name="Project ID" tableColumnId="1"/>
      <queryTableField id="2" name="Panel ID" tableColumnId="2"/>
      <queryTableField id="3" name="Panel Type" tableColumnId="3"/>
      <queryTableField id="4" name="Volume (m3)" tableColumnId="4"/>
      <queryTableField id="5" name="Area (m2)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FB4670B-9998-4E2B-BB74-CC64A1189704}" autoFormatId="16" applyNumberFormats="0" applyBorderFormats="0" applyFontFormats="0" applyPatternFormats="0" applyAlignmentFormats="0" applyWidthHeightFormats="0">
  <queryTableRefresh nextId="6">
    <queryTableFields count="5">
      <queryTableField id="1" name="Project ID" tableColumnId="1"/>
      <queryTableField id="2" name="Panel ID" tableColumnId="2"/>
      <queryTableField id="3" name="Panel Type" tableColumnId="3"/>
      <queryTableField id="4" name="Volume (m3)" tableColumnId="4"/>
      <queryTableField id="5" name="Area (m2)" tableColumnId="5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52C016-D088-40E8-999D-F664B9BB2A90}" name="Queensland_flat" displayName="Queensland_flat" ref="A11:E66" totalsRowCount="1" headerRowDxfId="62" headerRowBorderDxfId="61" tableBorderDxfId="60" totalsRowBorderDxfId="59">
  <autoFilter ref="A11:E65" xr:uid="{8C842017-CDC2-4FC5-BDE9-224A3E43AE26}"/>
  <tableColumns count="5">
    <tableColumn id="1" xr3:uid="{052E8786-0115-4A86-9CCB-7F462BFFEE9C}" name="Project ID" totalsRowLabel="Total" dataDxfId="9" totalsRowDxfId="4" dataCellStyle="Normal 6"/>
    <tableColumn id="2" xr3:uid="{6F6EFD76-6D9B-48DB-B903-E3D343C2CF08}" name="Panel ID" dataDxfId="8" totalsRowDxfId="3" dataCellStyle="Normal 6"/>
    <tableColumn id="3" xr3:uid="{C874EC2C-DA48-43D4-A0B7-E8AB721E7F7C}" name="Panel Type" totalsRowFunction="count" dataDxfId="7" totalsRowDxfId="2"/>
    <tableColumn id="4" xr3:uid="{0E55A915-8BBA-4E87-9228-105C41764945}" name="Volume (m3)" totalsRowFunction="sum" dataDxfId="6" totalsRowDxfId="1" dataCellStyle="Normal 6"/>
    <tableColumn id="5" xr3:uid="{B5A99AFD-A75D-427B-A537-A8614CDE074F}" name="Area (m2)" totalsRowFunction="sum" dataDxfId="5" totalsRow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429BA9-9091-4BE3-B050-CEE8B887BB0D}" name="Queensland_cubes" displayName="Queensland_cubes" ref="A70:E93" totalsRowCount="1" headerRowDxfId="58" dataDxfId="56" headerRowBorderDxfId="57" tableBorderDxfId="55" totalsRowBorderDxfId="54">
  <autoFilter ref="A70:E92" xr:uid="{66FF5B5E-1F11-446D-A5F1-3F89275F5F97}"/>
  <tableColumns count="5">
    <tableColumn id="1" xr3:uid="{D53546C0-AD36-48DA-905C-E631BB12BAD3}" name="Project ID" totalsRowLabel="Total" dataDxfId="53" totalsRowDxfId="19"/>
    <tableColumn id="2" xr3:uid="{DB92FD57-F6D3-4D76-B7DA-288B32A45910}" name="Panel ID" dataDxfId="52" totalsRowDxfId="18"/>
    <tableColumn id="3" xr3:uid="{66BB87AA-3BAF-4681-AE01-C1DD121A09A3}" name="Panel Type" totalsRowFunction="count" dataDxfId="51" totalsRowDxfId="17"/>
    <tableColumn id="4" xr3:uid="{B1209EE4-1A2C-48E6-8A1A-01E43E9C97BF}" name="Volume (m3)" totalsRowFunction="sum" dataDxfId="50" totalsRowDxfId="16"/>
    <tableColumn id="5" xr3:uid="{1C806241-B27F-4131-A4BE-AFD48E0A99E3}" name="Area (m2)" totalsRowFunction="sum" dataDxfId="49" totalsRowDxfId="15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42017-CDC2-4FC5-BDE9-224A3E43AE26}" name="Victoria_flat" displayName="Victoria_flat" ref="A11:E58" totalsRowCount="1" headerRowDxfId="48" headerRowBorderDxfId="47" tableBorderDxfId="46" totalsRowBorderDxfId="45">
  <autoFilter ref="A11:E57" xr:uid="{8C842017-CDC2-4FC5-BDE9-224A3E43AE26}"/>
  <tableColumns count="5">
    <tableColumn id="1" xr3:uid="{64C12D68-B2B5-4AA9-AEA0-BA343A165EBD}" name="Project ID" totalsRowLabel="Total" dataDxfId="44" totalsRowDxfId="14"/>
    <tableColumn id="2" xr3:uid="{14ED49D6-04F0-46BC-A7BF-7176C69A2E5A}" name="Panel ID" dataDxfId="43" totalsRowDxfId="13"/>
    <tableColumn id="3" xr3:uid="{D3F4A73A-90D2-4CC7-8F98-33489B7672F9}" name="Panel Type" totalsRowFunction="count" dataDxfId="42" totalsRowDxfId="12"/>
    <tableColumn id="4" xr3:uid="{0806AFBB-7C07-4162-84C0-2A616F56AF2F}" name="Volume (m3)" totalsRowFunction="custom" dataDxfId="41" totalsRowDxfId="11">
      <totalsRowFormula>+SUBTOTAL(109,Victoria_flat[Volume (m3)])</totalsRowFormula>
    </tableColumn>
    <tableColumn id="5" xr3:uid="{BD9D3370-5155-46AD-A319-5C18FEE9121A}" name="Area (m2)" totalsRowFunction="custom" dataDxfId="40" totalsRowDxfId="10">
      <totalsRowFormula>+SUBTOTAL(109,Victoria_flat[Area (m2)])</totalsRow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FF5B5E-1F11-446D-A5F1-3F89275F5F97}" name="Victoria_cubes" displayName="Victoria_cubes" ref="A62:E75" totalsRowCount="1" headerRowDxfId="39" dataDxfId="37" headerRowBorderDxfId="38" tableBorderDxfId="36" totalsRowBorderDxfId="35">
  <autoFilter ref="A62:E74" xr:uid="{66FF5B5E-1F11-446D-A5F1-3F89275F5F97}"/>
  <tableColumns count="5">
    <tableColumn id="1" xr3:uid="{37B638C0-434A-489D-A464-FAC51C04B28D}" name="Project ID" totalsRowLabel="Total" dataDxfId="34" totalsRowDxfId="33"/>
    <tableColumn id="2" xr3:uid="{D29CA7D9-85B1-4CED-8B6B-D78453161B58}" name="Panel ID" dataDxfId="32" totalsRowDxfId="31"/>
    <tableColumn id="3" xr3:uid="{E80448BE-1A08-4153-BD65-450207C75FC3}" name="Panel Type" totalsRowFunction="count" dataDxfId="30" totalsRowDxfId="29"/>
    <tableColumn id="4" xr3:uid="{49DF809C-A6B9-4D54-849A-949714F21E75}" name="Volume (m3)" totalsRowFunction="sum" dataDxfId="28" totalsRowDxfId="27" dataCellStyle="Comma">
      <calculatedColumnFormula>1.31+1.31+2.8</calculatedColumnFormula>
    </tableColumn>
    <tableColumn id="5" xr3:uid="{3943A655-9E62-48F8-9B35-2870AB27F459}" name="Area (m2)" totalsRowFunction="sum" dataDxfId="26" totalsRowDxfId="25" dataCellStyle="Comma">
      <calculatedColumnFormula>2.865*2.95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99311B-44D1-4CE7-9E1C-62DFD3C57F44}" name="Append1" displayName="Append1" ref="A4:E94" tableType="queryTable" totalsRowShown="0">
  <autoFilter ref="A4:E94" xr:uid="{EF99311B-44D1-4CE7-9E1C-62DFD3C57F44}"/>
  <tableColumns count="5">
    <tableColumn id="1" xr3:uid="{DA622608-27DC-4C0A-B537-C5E9E7268592}" uniqueName="1" name="Project ID" queryTableFieldId="1" dataDxfId="24"/>
    <tableColumn id="2" xr3:uid="{43CF93AA-5617-4D9D-BE0B-1C0211369106}" uniqueName="2" name="Panel ID" queryTableFieldId="2"/>
    <tableColumn id="3" xr3:uid="{56CDCC02-1F07-4C0D-AE89-01E1C015CB68}" uniqueName="3" name="Panel Type" queryTableFieldId="3" dataDxfId="23"/>
    <tableColumn id="4" xr3:uid="{379ACFE6-E45B-4639-AAEB-ECEA1F4B6345}" uniqueName="4" name="Volume (m3)" queryTableFieldId="4"/>
    <tableColumn id="5" xr3:uid="{6CC64DA1-A093-4C2F-B09E-203B64FF1AE7}" uniqueName="5" name="Area (m2)" queryTableFieldId="5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867C4C-01AB-4590-9C52-A1DB6CA1A05D}" name="Append2" displayName="Append2" ref="G4:K40" tableType="queryTable" totalsRowShown="0" tableBorderDxfId="22">
  <autoFilter ref="G4:K40" xr:uid="{76867C4C-01AB-4590-9C52-A1DB6CA1A05D}"/>
  <tableColumns count="5">
    <tableColumn id="1" xr3:uid="{96D9B401-795A-4B04-83D2-38BB9A82A434}" uniqueName="1" name="Project ID" queryTableFieldId="1" dataDxfId="21"/>
    <tableColumn id="2" xr3:uid="{5AFE7688-B691-440E-A8FA-E729D11D6B31}" uniqueName="2" name="Panel ID" queryTableFieldId="2"/>
    <tableColumn id="3" xr3:uid="{23FE400D-55B1-4449-B75A-6B6EDE758AE4}" uniqueName="3" name="Panel Type" queryTableFieldId="3" dataDxfId="20"/>
    <tableColumn id="4" xr3:uid="{BDA452BD-B0B9-4B55-9848-6B1D2434F762}" uniqueName="4" name="Volume (m3)" queryTableFieldId="4"/>
    <tableColumn id="5" xr3:uid="{41D28574-3981-4AB3-B0EE-2D8D7EF4AC63}" uniqueName="5" name="Area (m2)" queryTableField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736E-AFE9-4D2C-813D-B55DFCAF83E5}">
  <dimension ref="A1:H128"/>
  <sheetViews>
    <sheetView tabSelected="1" zoomScale="115" zoomScaleNormal="115" workbookViewId="0">
      <selection activeCell="D6" sqref="D6"/>
    </sheetView>
  </sheetViews>
  <sheetFormatPr defaultColWidth="0" defaultRowHeight="14.45" customHeight="1" zeroHeight="1" x14ac:dyDescent="0.25"/>
  <cols>
    <col min="1" max="1" width="41.7109375" style="6" bestFit="1" customWidth="1"/>
    <col min="2" max="2" width="21.140625" bestFit="1" customWidth="1"/>
    <col min="3" max="3" width="15.28515625" bestFit="1" customWidth="1"/>
    <col min="4" max="4" width="13" customWidth="1"/>
    <col min="5" max="5" width="11" customWidth="1"/>
    <col min="6" max="6" width="3.42578125" customWidth="1"/>
    <col min="7" max="8" width="0" hidden="1" customWidth="1"/>
    <col min="9" max="16384" width="8.85546875" hidden="1"/>
  </cols>
  <sheetData>
    <row r="1" spans="1:6" ht="20.25" customHeight="1" x14ac:dyDescent="0.25">
      <c r="A1" s="97" t="s">
        <v>65</v>
      </c>
      <c r="B1" s="97"/>
      <c r="C1" s="97"/>
      <c r="D1" t="s">
        <v>74</v>
      </c>
      <c r="E1" s="15">
        <v>46053</v>
      </c>
      <c r="F1" s="14"/>
    </row>
    <row r="2" spans="1:6" ht="15" x14ac:dyDescent="0.25">
      <c r="E2" s="5"/>
    </row>
    <row r="3" spans="1:6" ht="15" x14ac:dyDescent="0.25">
      <c r="B3" s="98" t="s">
        <v>0</v>
      </c>
      <c r="C3" s="99"/>
      <c r="D3" s="100"/>
    </row>
    <row r="4" spans="1:6" ht="15" x14ac:dyDescent="0.25">
      <c r="B4" s="101" t="s">
        <v>1</v>
      </c>
      <c r="C4" s="102"/>
      <c r="D4" s="10">
        <f>+Queensland_flat[[#Totals],[Panel Type]]</f>
        <v>25</v>
      </c>
      <c r="E4" s="7"/>
      <c r="F4" s="11"/>
    </row>
    <row r="5" spans="1:6" ht="15" x14ac:dyDescent="0.25">
      <c r="B5" s="101" t="s">
        <v>2</v>
      </c>
      <c r="C5" s="102"/>
      <c r="D5" s="10">
        <v>0</v>
      </c>
      <c r="F5" s="12"/>
    </row>
    <row r="6" spans="1:6" ht="15" x14ac:dyDescent="0.25">
      <c r="B6" s="101" t="s">
        <v>3</v>
      </c>
      <c r="C6" s="102"/>
      <c r="D6" s="10">
        <v>0</v>
      </c>
      <c r="F6" s="12"/>
    </row>
    <row r="7" spans="1:6" ht="15" x14ac:dyDescent="0.25">
      <c r="B7" s="101" t="s">
        <v>63</v>
      </c>
      <c r="C7" s="102"/>
      <c r="D7" s="10">
        <v>0</v>
      </c>
      <c r="F7" s="12"/>
    </row>
    <row r="8" spans="1:6" ht="15" x14ac:dyDescent="0.25">
      <c r="B8" s="103" t="s">
        <v>4</v>
      </c>
      <c r="C8" s="104"/>
      <c r="D8" s="69">
        <f>+SUM(Queensland_flat[[#Totals],[Volume (m3)]],Queensland_cubes[[#Totals],[Volume (m3)]])</f>
        <v>63.14</v>
      </c>
      <c r="F8" s="12"/>
    </row>
    <row r="9" spans="1:6" ht="15" x14ac:dyDescent="0.25">
      <c r="F9" s="12"/>
    </row>
    <row r="10" spans="1:6" ht="15" x14ac:dyDescent="0.25">
      <c r="A10" s="93" t="s">
        <v>5</v>
      </c>
      <c r="B10" s="93"/>
      <c r="C10" s="93"/>
      <c r="D10" s="93"/>
      <c r="E10" s="93"/>
      <c r="F10" s="12"/>
    </row>
    <row r="11" spans="1:6" s="2" customFormat="1" ht="15" x14ac:dyDescent="0.25">
      <c r="A11" s="19" t="s">
        <v>6</v>
      </c>
      <c r="B11" s="20" t="s">
        <v>7</v>
      </c>
      <c r="C11" s="20" t="s">
        <v>8</v>
      </c>
      <c r="D11" s="20" t="s">
        <v>9</v>
      </c>
      <c r="E11" s="21" t="s">
        <v>10</v>
      </c>
      <c r="F11" s="13"/>
    </row>
    <row r="12" spans="1:6" s="1" customFormat="1" ht="15" x14ac:dyDescent="0.25">
      <c r="A12" s="33" t="s">
        <v>66</v>
      </c>
      <c r="B12" s="33" t="s">
        <v>76</v>
      </c>
      <c r="C12" s="3" t="s">
        <v>67</v>
      </c>
      <c r="D12" s="33">
        <v>2.86</v>
      </c>
      <c r="E12" s="3">
        <v>14.32</v>
      </c>
      <c r="F12" s="6"/>
    </row>
    <row r="13" spans="1:6" s="1" customFormat="1" ht="14.45" customHeight="1" x14ac:dyDescent="0.25">
      <c r="A13" s="33" t="s">
        <v>68</v>
      </c>
      <c r="B13" s="33" t="s">
        <v>77</v>
      </c>
      <c r="C13" s="3" t="s">
        <v>69</v>
      </c>
      <c r="D13" s="33">
        <v>2.19</v>
      </c>
      <c r="E13" s="3">
        <v>6.26</v>
      </c>
      <c r="F13" s="6"/>
    </row>
    <row r="14" spans="1:6" s="1" customFormat="1" ht="14.45" customHeight="1" x14ac:dyDescent="0.25">
      <c r="A14" s="33" t="s">
        <v>68</v>
      </c>
      <c r="B14" s="33" t="s">
        <v>78</v>
      </c>
      <c r="C14" s="3" t="s">
        <v>69</v>
      </c>
      <c r="D14" s="33">
        <v>2.0699999999999998</v>
      </c>
      <c r="E14" s="3">
        <v>5.91</v>
      </c>
      <c r="F14" s="6"/>
    </row>
    <row r="15" spans="1:6" s="1" customFormat="1" ht="14.45" customHeight="1" x14ac:dyDescent="0.25">
      <c r="A15" s="33" t="s">
        <v>68</v>
      </c>
      <c r="B15" s="33" t="s">
        <v>79</v>
      </c>
      <c r="C15" s="3" t="s">
        <v>69</v>
      </c>
      <c r="D15" s="33">
        <v>2.23</v>
      </c>
      <c r="E15" s="3">
        <v>6.36</v>
      </c>
      <c r="F15" s="6"/>
    </row>
    <row r="16" spans="1:6" s="1" customFormat="1" ht="14.45" customHeight="1" x14ac:dyDescent="0.25">
      <c r="A16" s="33" t="s">
        <v>68</v>
      </c>
      <c r="B16" s="33" t="s">
        <v>80</v>
      </c>
      <c r="C16" s="3" t="s">
        <v>69</v>
      </c>
      <c r="D16" s="33">
        <v>2.0299999999999998</v>
      </c>
      <c r="E16" s="3">
        <v>5.81</v>
      </c>
      <c r="F16" s="6"/>
    </row>
    <row r="17" spans="1:6" s="1" customFormat="1" ht="14.45" customHeight="1" x14ac:dyDescent="0.25">
      <c r="A17" s="33" t="s">
        <v>68</v>
      </c>
      <c r="B17" s="33" t="s">
        <v>81</v>
      </c>
      <c r="C17" s="3" t="s">
        <v>69</v>
      </c>
      <c r="D17" s="33">
        <v>2.19</v>
      </c>
      <c r="E17" s="3">
        <v>6.26</v>
      </c>
      <c r="F17" s="6"/>
    </row>
    <row r="18" spans="1:6" s="1" customFormat="1" ht="14.45" customHeight="1" x14ac:dyDescent="0.25">
      <c r="A18" s="33" t="s">
        <v>68</v>
      </c>
      <c r="B18" s="33" t="s">
        <v>82</v>
      </c>
      <c r="C18" s="3" t="s">
        <v>69</v>
      </c>
      <c r="D18" s="33">
        <v>2.19</v>
      </c>
      <c r="E18" s="3">
        <v>6.26</v>
      </c>
      <c r="F18" s="6"/>
    </row>
    <row r="19" spans="1:6" s="1" customFormat="1" ht="14.45" customHeight="1" x14ac:dyDescent="0.25">
      <c r="A19" s="33" t="s">
        <v>68</v>
      </c>
      <c r="B19" s="33" t="s">
        <v>83</v>
      </c>
      <c r="C19" s="3" t="s">
        <v>69</v>
      </c>
      <c r="D19" s="33">
        <v>2.0299999999999998</v>
      </c>
      <c r="E19" s="3">
        <v>5.81</v>
      </c>
      <c r="F19" s="6"/>
    </row>
    <row r="20" spans="1:6" s="1" customFormat="1" ht="14.45" customHeight="1" x14ac:dyDescent="0.25">
      <c r="A20" s="33" t="s">
        <v>75</v>
      </c>
      <c r="B20" s="33" t="s">
        <v>84</v>
      </c>
      <c r="C20" s="3" t="s">
        <v>67</v>
      </c>
      <c r="D20" s="33">
        <v>0.76</v>
      </c>
      <c r="E20" s="3">
        <v>5.04</v>
      </c>
      <c r="F20" s="6"/>
    </row>
    <row r="21" spans="1:6" s="1" customFormat="1" ht="14.45" customHeight="1" x14ac:dyDescent="0.25">
      <c r="A21" s="33" t="s">
        <v>75</v>
      </c>
      <c r="B21" s="33" t="s">
        <v>85</v>
      </c>
      <c r="C21" s="3" t="s">
        <v>67</v>
      </c>
      <c r="D21" s="33">
        <v>1.47</v>
      </c>
      <c r="E21" s="3">
        <v>9.7799999999999994</v>
      </c>
      <c r="F21" s="6"/>
    </row>
    <row r="22" spans="1:6" s="1" customFormat="1" ht="14.45" customHeight="1" x14ac:dyDescent="0.25">
      <c r="A22" s="33" t="s">
        <v>75</v>
      </c>
      <c r="B22" s="33" t="s">
        <v>86</v>
      </c>
      <c r="C22" s="3" t="s">
        <v>67</v>
      </c>
      <c r="D22" s="33">
        <v>1.76</v>
      </c>
      <c r="E22" s="3">
        <v>11.75</v>
      </c>
      <c r="F22" s="6"/>
    </row>
    <row r="23" spans="1:6" s="1" customFormat="1" ht="14.45" customHeight="1" x14ac:dyDescent="0.25">
      <c r="A23" s="33" t="s">
        <v>75</v>
      </c>
      <c r="B23" s="33" t="s">
        <v>87</v>
      </c>
      <c r="C23" s="3" t="s">
        <v>67</v>
      </c>
      <c r="D23" s="33">
        <v>2.83</v>
      </c>
      <c r="E23" s="3">
        <v>18.87</v>
      </c>
      <c r="F23" s="6"/>
    </row>
    <row r="24" spans="1:6" s="1" customFormat="1" ht="14.45" customHeight="1" x14ac:dyDescent="0.25">
      <c r="A24" s="33" t="s">
        <v>70</v>
      </c>
      <c r="B24" s="33" t="s">
        <v>88</v>
      </c>
      <c r="C24" s="3" t="s">
        <v>67</v>
      </c>
      <c r="D24" s="33">
        <v>4.4800000000000004</v>
      </c>
      <c r="E24" s="3">
        <v>22.49</v>
      </c>
      <c r="F24" s="6"/>
    </row>
    <row r="25" spans="1:6" s="1" customFormat="1" ht="14.45" customHeight="1" x14ac:dyDescent="0.25">
      <c r="A25" s="33" t="s">
        <v>70</v>
      </c>
      <c r="B25" s="33" t="s">
        <v>89</v>
      </c>
      <c r="C25" s="3" t="s">
        <v>67</v>
      </c>
      <c r="D25" s="33">
        <v>3.53</v>
      </c>
      <c r="E25" s="3">
        <v>14.64</v>
      </c>
      <c r="F25" s="6"/>
    </row>
    <row r="26" spans="1:6" s="1" customFormat="1" ht="14.45" customHeight="1" x14ac:dyDescent="0.25">
      <c r="A26" s="33" t="s">
        <v>70</v>
      </c>
      <c r="B26" s="33" t="s">
        <v>90</v>
      </c>
      <c r="C26" s="3" t="s">
        <v>67</v>
      </c>
      <c r="D26" s="33">
        <v>2.38</v>
      </c>
      <c r="E26" s="3">
        <v>10.02</v>
      </c>
      <c r="F26" s="6"/>
    </row>
    <row r="27" spans="1:6" s="1" customFormat="1" ht="14.45" customHeight="1" x14ac:dyDescent="0.25">
      <c r="A27" s="33" t="s">
        <v>70</v>
      </c>
      <c r="B27" s="33" t="s">
        <v>91</v>
      </c>
      <c r="C27" s="3" t="s">
        <v>67</v>
      </c>
      <c r="D27" s="33">
        <v>3.48</v>
      </c>
      <c r="E27" s="3">
        <v>13.92</v>
      </c>
      <c r="F27" s="6"/>
    </row>
    <row r="28" spans="1:6" s="1" customFormat="1" ht="14.45" customHeight="1" x14ac:dyDescent="0.25">
      <c r="A28" s="33" t="s">
        <v>70</v>
      </c>
      <c r="B28" s="33" t="s">
        <v>92</v>
      </c>
      <c r="C28" s="3" t="s">
        <v>67</v>
      </c>
      <c r="D28" s="33">
        <v>1.56</v>
      </c>
      <c r="E28" s="3">
        <v>6.47</v>
      </c>
      <c r="F28" s="6"/>
    </row>
    <row r="29" spans="1:6" s="1" customFormat="1" ht="14.45" customHeight="1" x14ac:dyDescent="0.25">
      <c r="A29" s="33" t="s">
        <v>71</v>
      </c>
      <c r="B29" s="33" t="s">
        <v>93</v>
      </c>
      <c r="C29" s="3" t="s">
        <v>67</v>
      </c>
      <c r="D29" s="33">
        <v>4.05</v>
      </c>
      <c r="E29" s="3">
        <v>9.59</v>
      </c>
      <c r="F29" s="6"/>
    </row>
    <row r="30" spans="1:6" s="1" customFormat="1" ht="14.45" customHeight="1" x14ac:dyDescent="0.25">
      <c r="A30" s="33" t="s">
        <v>72</v>
      </c>
      <c r="B30" s="33" t="s">
        <v>94</v>
      </c>
      <c r="C30" s="3" t="s">
        <v>67</v>
      </c>
      <c r="D30" s="33">
        <v>2.19</v>
      </c>
      <c r="E30" s="3">
        <v>8.2799999999999994</v>
      </c>
      <c r="F30" s="6"/>
    </row>
    <row r="31" spans="1:6" s="1" customFormat="1" ht="14.45" customHeight="1" x14ac:dyDescent="0.25">
      <c r="A31" s="33" t="s">
        <v>72</v>
      </c>
      <c r="B31" s="33" t="s">
        <v>95</v>
      </c>
      <c r="C31" s="3" t="s">
        <v>67</v>
      </c>
      <c r="D31" s="33">
        <v>2.4500000000000002</v>
      </c>
      <c r="E31" s="3">
        <v>9.3000000000000007</v>
      </c>
      <c r="F31" s="6"/>
    </row>
    <row r="32" spans="1:6" s="1" customFormat="1" ht="14.45" customHeight="1" x14ac:dyDescent="0.25">
      <c r="A32" s="33" t="s">
        <v>72</v>
      </c>
      <c r="B32" s="33" t="s">
        <v>96</v>
      </c>
      <c r="C32" s="3" t="s">
        <v>67</v>
      </c>
      <c r="D32" s="33">
        <v>2.27</v>
      </c>
      <c r="E32" s="3">
        <v>7.55</v>
      </c>
      <c r="F32" s="6"/>
    </row>
    <row r="33" spans="1:6" s="1" customFormat="1" ht="14.45" customHeight="1" x14ac:dyDescent="0.25">
      <c r="A33" s="33" t="s">
        <v>72</v>
      </c>
      <c r="B33" s="33" t="s">
        <v>97</v>
      </c>
      <c r="C33" s="3" t="s">
        <v>67</v>
      </c>
      <c r="D33" s="33">
        <v>2.41</v>
      </c>
      <c r="E33" s="3">
        <v>9.18</v>
      </c>
      <c r="F33" s="6"/>
    </row>
    <row r="34" spans="1:6" s="1" customFormat="1" ht="14.45" customHeight="1" x14ac:dyDescent="0.25">
      <c r="A34" s="33" t="s">
        <v>72</v>
      </c>
      <c r="B34" s="33" t="s">
        <v>98</v>
      </c>
      <c r="C34" s="3" t="s">
        <v>67</v>
      </c>
      <c r="D34" s="33">
        <v>2.4</v>
      </c>
      <c r="E34" s="3">
        <v>9.15</v>
      </c>
      <c r="F34" s="6"/>
    </row>
    <row r="35" spans="1:6" s="1" customFormat="1" ht="14.45" customHeight="1" x14ac:dyDescent="0.25">
      <c r="A35" s="33" t="s">
        <v>73</v>
      </c>
      <c r="B35" s="33" t="s">
        <v>99</v>
      </c>
      <c r="C35" s="3" t="s">
        <v>67</v>
      </c>
      <c r="D35" s="33">
        <v>2.2000000000000002</v>
      </c>
      <c r="E35" s="3">
        <v>8.9499999999999993</v>
      </c>
      <c r="F35" s="6"/>
    </row>
    <row r="36" spans="1:6" s="1" customFormat="1" ht="14.45" customHeight="1" x14ac:dyDescent="0.25">
      <c r="A36" s="33" t="s">
        <v>73</v>
      </c>
      <c r="B36" s="33" t="s">
        <v>100</v>
      </c>
      <c r="C36" s="3" t="s">
        <v>69</v>
      </c>
      <c r="D36" s="33">
        <v>5.13</v>
      </c>
      <c r="E36" s="3">
        <v>9.67</v>
      </c>
      <c r="F36" s="6"/>
    </row>
    <row r="37" spans="1:6" s="1" customFormat="1" ht="14.45" customHeight="1" x14ac:dyDescent="0.25">
      <c r="A37" s="33"/>
      <c r="B37" s="33"/>
      <c r="C37" s="3"/>
      <c r="D37" s="33"/>
      <c r="E37" s="3"/>
      <c r="F37" s="6"/>
    </row>
    <row r="38" spans="1:6" s="1" customFormat="1" ht="14.45" customHeight="1" x14ac:dyDescent="0.25">
      <c r="A38" s="33"/>
      <c r="B38" s="33"/>
      <c r="C38" s="3"/>
      <c r="D38" s="33"/>
      <c r="E38" s="3"/>
      <c r="F38" s="6"/>
    </row>
    <row r="39" spans="1:6" s="1" customFormat="1" ht="14.45" customHeight="1" x14ac:dyDescent="0.25">
      <c r="A39" s="33"/>
      <c r="B39" s="33"/>
      <c r="C39" s="3"/>
      <c r="D39" s="33"/>
      <c r="E39" s="3"/>
      <c r="F39" s="6"/>
    </row>
    <row r="40" spans="1:6" s="1" customFormat="1" ht="14.45" customHeight="1" x14ac:dyDescent="0.25">
      <c r="A40" s="33"/>
      <c r="B40" s="33"/>
      <c r="C40" s="3"/>
      <c r="D40" s="33"/>
      <c r="E40" s="3"/>
      <c r="F40" s="6"/>
    </row>
    <row r="41" spans="1:6" s="1" customFormat="1" ht="14.45" customHeight="1" x14ac:dyDescent="0.25">
      <c r="A41" s="33"/>
      <c r="B41" s="33"/>
      <c r="C41" s="3"/>
      <c r="D41" s="33"/>
      <c r="E41" s="3"/>
      <c r="F41" s="6"/>
    </row>
    <row r="42" spans="1:6" s="1" customFormat="1" ht="14.45" customHeight="1" x14ac:dyDescent="0.25">
      <c r="A42" s="33"/>
      <c r="B42" s="33"/>
      <c r="C42" s="3"/>
      <c r="D42" s="33"/>
      <c r="E42" s="3"/>
      <c r="F42" s="6"/>
    </row>
    <row r="43" spans="1:6" s="1" customFormat="1" ht="14.45" customHeight="1" x14ac:dyDescent="0.25">
      <c r="A43" s="33"/>
      <c r="B43" s="33"/>
      <c r="C43" s="3"/>
      <c r="D43" s="33"/>
      <c r="E43" s="3"/>
      <c r="F43" s="6"/>
    </row>
    <row r="44" spans="1:6" s="1" customFormat="1" ht="14.45" customHeight="1" x14ac:dyDescent="0.25">
      <c r="A44" s="33"/>
      <c r="B44" s="33"/>
      <c r="C44" s="3"/>
      <c r="D44" s="33"/>
      <c r="E44" s="3"/>
      <c r="F44" s="6"/>
    </row>
    <row r="45" spans="1:6" s="1" customFormat="1" ht="14.45" customHeight="1" x14ac:dyDescent="0.25">
      <c r="A45" s="33"/>
      <c r="B45" s="33"/>
      <c r="C45" s="3"/>
      <c r="D45" s="33"/>
      <c r="E45" s="3"/>
      <c r="F45" s="6"/>
    </row>
    <row r="46" spans="1:6" s="1" customFormat="1" ht="14.45" customHeight="1" x14ac:dyDescent="0.25">
      <c r="A46" s="33"/>
      <c r="B46" s="33"/>
      <c r="C46" s="3"/>
      <c r="D46" s="33"/>
      <c r="E46" s="3"/>
      <c r="F46" s="6"/>
    </row>
    <row r="47" spans="1:6" s="1" customFormat="1" ht="14.45" customHeight="1" x14ac:dyDescent="0.25">
      <c r="A47" s="33"/>
      <c r="B47" s="33"/>
      <c r="C47" s="3"/>
      <c r="D47" s="33"/>
      <c r="E47" s="3"/>
      <c r="F47" s="6"/>
    </row>
    <row r="48" spans="1:6" s="1" customFormat="1" ht="14.45" customHeight="1" x14ac:dyDescent="0.25">
      <c r="A48" s="33"/>
      <c r="B48" s="33"/>
      <c r="C48" s="3"/>
      <c r="D48" s="33"/>
      <c r="E48" s="3"/>
      <c r="F48" s="6"/>
    </row>
    <row r="49" spans="1:6" s="1" customFormat="1" ht="14.45" customHeight="1" x14ac:dyDescent="0.25">
      <c r="A49" s="33"/>
      <c r="B49" s="33"/>
      <c r="C49" s="3"/>
      <c r="D49" s="33"/>
      <c r="E49" s="3"/>
      <c r="F49" s="6"/>
    </row>
    <row r="50" spans="1:6" s="1" customFormat="1" ht="14.45" customHeight="1" x14ac:dyDescent="0.25">
      <c r="A50" s="33"/>
      <c r="B50" s="33"/>
      <c r="C50" s="3"/>
      <c r="D50" s="33"/>
      <c r="E50" s="3"/>
      <c r="F50" s="6"/>
    </row>
    <row r="51" spans="1:6" s="1" customFormat="1" ht="14.45" customHeight="1" x14ac:dyDescent="0.25">
      <c r="A51" s="33"/>
      <c r="B51" s="33"/>
      <c r="C51" s="3"/>
      <c r="D51" s="33"/>
      <c r="E51" s="3"/>
      <c r="F51" s="6"/>
    </row>
    <row r="52" spans="1:6" s="1" customFormat="1" ht="14.45" customHeight="1" x14ac:dyDescent="0.25">
      <c r="A52" s="33"/>
      <c r="B52" s="33"/>
      <c r="C52" s="3"/>
      <c r="D52" s="33"/>
      <c r="E52" s="3"/>
      <c r="F52" s="6"/>
    </row>
    <row r="53" spans="1:6" s="1" customFormat="1" ht="14.45" customHeight="1" x14ac:dyDescent="0.25">
      <c r="A53" s="92"/>
      <c r="B53" s="33"/>
      <c r="C53" s="3"/>
      <c r="D53" s="33"/>
      <c r="E53" s="3"/>
      <c r="F53" s="6"/>
    </row>
    <row r="54" spans="1:6" s="1" customFormat="1" ht="14.45" customHeight="1" x14ac:dyDescent="0.25">
      <c r="A54" s="92"/>
      <c r="B54" s="33"/>
      <c r="C54" s="3"/>
      <c r="D54" s="33"/>
      <c r="E54" s="3"/>
      <c r="F54" s="6"/>
    </row>
    <row r="55" spans="1:6" s="1" customFormat="1" ht="14.45" customHeight="1" x14ac:dyDescent="0.25">
      <c r="A55" s="33"/>
      <c r="B55" s="33"/>
      <c r="C55" s="3"/>
      <c r="D55" s="33"/>
      <c r="E55" s="3"/>
      <c r="F55" s="6"/>
    </row>
    <row r="56" spans="1:6" s="1" customFormat="1" ht="14.45" customHeight="1" x14ac:dyDescent="0.25">
      <c r="A56" s="33"/>
      <c r="B56" s="33"/>
      <c r="C56" s="3"/>
      <c r="D56" s="33"/>
      <c r="E56" s="3"/>
      <c r="F56" s="6"/>
    </row>
    <row r="57" spans="1:6" s="1" customFormat="1" ht="14.45" customHeight="1" x14ac:dyDescent="0.25">
      <c r="A57" s="33"/>
      <c r="B57" s="33"/>
      <c r="C57" s="3"/>
      <c r="D57" s="33"/>
      <c r="E57" s="3"/>
      <c r="F57" s="6"/>
    </row>
    <row r="58" spans="1:6" s="1" customFormat="1" ht="14.45" customHeight="1" x14ac:dyDescent="0.25">
      <c r="A58" s="33"/>
      <c r="B58" s="33"/>
      <c r="C58" s="3"/>
      <c r="D58" s="33"/>
      <c r="E58" s="3"/>
      <c r="F58" s="6"/>
    </row>
    <row r="59" spans="1:6" s="1" customFormat="1" ht="14.45" customHeight="1" x14ac:dyDescent="0.25">
      <c r="A59" s="33"/>
      <c r="B59" s="33"/>
      <c r="C59" s="3"/>
      <c r="D59" s="33"/>
      <c r="E59" s="3"/>
      <c r="F59" s="6"/>
    </row>
    <row r="60" spans="1:6" s="1" customFormat="1" ht="14.45" customHeight="1" x14ac:dyDescent="0.25">
      <c r="A60" s="33"/>
      <c r="B60" s="33"/>
      <c r="C60" s="3"/>
      <c r="D60" s="33"/>
      <c r="E60" s="3"/>
      <c r="F60" s="6"/>
    </row>
    <row r="61" spans="1:6" s="1" customFormat="1" ht="14.45" customHeight="1" x14ac:dyDescent="0.25">
      <c r="A61" s="33"/>
      <c r="B61" s="33"/>
      <c r="C61" s="3"/>
      <c r="D61" s="33"/>
      <c r="E61" s="3"/>
      <c r="F61" s="6"/>
    </row>
    <row r="62" spans="1:6" s="1" customFormat="1" ht="14.45" customHeight="1" x14ac:dyDescent="0.25">
      <c r="A62" s="33"/>
      <c r="B62" s="33"/>
      <c r="C62" s="3"/>
      <c r="D62" s="33"/>
      <c r="E62" s="3"/>
      <c r="F62" s="6"/>
    </row>
    <row r="63" spans="1:6" s="1" customFormat="1" ht="14.45" customHeight="1" x14ac:dyDescent="0.25">
      <c r="A63" s="33"/>
      <c r="B63" s="33"/>
      <c r="C63" s="3"/>
      <c r="D63" s="33"/>
      <c r="E63" s="3"/>
      <c r="F63" s="6"/>
    </row>
    <row r="64" spans="1:6" s="1" customFormat="1" ht="14.45" customHeight="1" x14ac:dyDescent="0.25">
      <c r="A64" s="33"/>
      <c r="B64" s="33"/>
      <c r="C64" s="3"/>
      <c r="D64" s="33"/>
      <c r="E64" s="3"/>
      <c r="F64" s="6"/>
    </row>
    <row r="65" spans="1:6" s="1" customFormat="1" ht="14.45" customHeight="1" x14ac:dyDescent="0.25">
      <c r="A65" s="33"/>
      <c r="B65" s="33"/>
      <c r="C65" s="3"/>
      <c r="D65" s="33"/>
      <c r="E65" s="3"/>
      <c r="F65" s="6"/>
    </row>
    <row r="66" spans="1:6" s="1" customFormat="1" ht="14.45" customHeight="1" x14ac:dyDescent="0.25">
      <c r="A66" s="27" t="s">
        <v>11</v>
      </c>
      <c r="B66" s="28"/>
      <c r="C66" s="28">
        <f>SUBTOTAL(103,Queensland_flat[Panel Type])</f>
        <v>25</v>
      </c>
      <c r="D66" s="28">
        <f>SUBTOTAL(109,Queensland_flat[Volume (m3)])</f>
        <v>63.14</v>
      </c>
      <c r="E66" s="29">
        <f>SUBTOTAL(109,Queensland_flat[Area (m2)])</f>
        <v>241.64000000000001</v>
      </c>
      <c r="F66" s="6"/>
    </row>
    <row r="67" spans="1:6" s="1" customFormat="1" ht="14.45" customHeight="1" x14ac:dyDescent="0.25">
      <c r="A67" s="22"/>
      <c r="B67"/>
      <c r="C67"/>
      <c r="D67"/>
      <c r="E67"/>
      <c r="F67" s="6"/>
    </row>
    <row r="68" spans="1:6" ht="15" x14ac:dyDescent="0.25">
      <c r="D68" s="4"/>
      <c r="E68" s="4"/>
      <c r="F68" s="4"/>
    </row>
    <row r="69" spans="1:6" ht="15" x14ac:dyDescent="0.25">
      <c r="A69" s="94" t="s">
        <v>12</v>
      </c>
      <c r="B69" s="94"/>
      <c r="C69" s="94"/>
      <c r="D69" s="94"/>
      <c r="E69" s="94"/>
      <c r="F69" s="13"/>
    </row>
    <row r="70" spans="1:6" ht="15" x14ac:dyDescent="0.25">
      <c r="A70" s="19" t="s">
        <v>6</v>
      </c>
      <c r="B70" s="20" t="s">
        <v>7</v>
      </c>
      <c r="C70" s="20" t="s">
        <v>8</v>
      </c>
      <c r="D70" s="20" t="s">
        <v>9</v>
      </c>
      <c r="E70" s="21" t="s">
        <v>10</v>
      </c>
      <c r="F70" s="2"/>
    </row>
    <row r="71" spans="1:6" ht="15" x14ac:dyDescent="0.25">
      <c r="A71" s="33"/>
      <c r="B71" s="33"/>
      <c r="C71" s="33"/>
      <c r="D71" s="33"/>
      <c r="E71" s="24"/>
      <c r="F71" s="2"/>
    </row>
    <row r="72" spans="1:6" ht="15" x14ac:dyDescent="0.25">
      <c r="A72" s="33"/>
      <c r="B72" s="33"/>
      <c r="C72" s="33"/>
      <c r="D72" s="33"/>
      <c r="F72" s="2"/>
    </row>
    <row r="73" spans="1:6" ht="15" x14ac:dyDescent="0.25">
      <c r="A73" s="33"/>
      <c r="B73" s="33"/>
      <c r="C73" s="33"/>
      <c r="D73" s="33"/>
      <c r="E73" s="17"/>
      <c r="F73" s="2"/>
    </row>
    <row r="74" spans="1:6" ht="15" x14ac:dyDescent="0.25">
      <c r="A74" s="33"/>
      <c r="B74" s="33"/>
      <c r="C74" s="33"/>
      <c r="D74" s="33"/>
      <c r="E74" s="3"/>
      <c r="F74" s="6"/>
    </row>
    <row r="75" spans="1:6" ht="15" x14ac:dyDescent="0.25">
      <c r="A75" s="33"/>
      <c r="B75" s="33"/>
      <c r="C75" s="33"/>
      <c r="D75" s="33"/>
      <c r="F75" s="4"/>
    </row>
    <row r="76" spans="1:6" ht="15" x14ac:dyDescent="0.25">
      <c r="A76" s="33"/>
      <c r="B76" s="33"/>
      <c r="C76" s="33"/>
      <c r="D76" s="33"/>
      <c r="E76" s="3"/>
      <c r="F76" s="4"/>
    </row>
    <row r="77" spans="1:6" ht="15" x14ac:dyDescent="0.25">
      <c r="A77" s="33"/>
      <c r="B77" s="33"/>
      <c r="C77" s="33"/>
      <c r="D77" s="33"/>
      <c r="E77" s="17"/>
    </row>
    <row r="78" spans="1:6" ht="15" x14ac:dyDescent="0.25">
      <c r="A78" s="33"/>
      <c r="B78" s="33"/>
      <c r="C78" s="33"/>
      <c r="D78" s="33"/>
      <c r="E78" s="3"/>
    </row>
    <row r="79" spans="1:6" ht="15" x14ac:dyDescent="0.25">
      <c r="A79" s="33"/>
      <c r="B79" s="33"/>
      <c r="C79" s="33"/>
      <c r="D79" s="33"/>
      <c r="E79" s="24"/>
    </row>
    <row r="80" spans="1:6" ht="15" x14ac:dyDescent="0.25">
      <c r="A80" s="33"/>
      <c r="B80" s="33"/>
      <c r="C80" s="33"/>
      <c r="D80" s="33"/>
      <c r="E80" s="3"/>
    </row>
    <row r="81" spans="1:5" ht="15" x14ac:dyDescent="0.25">
      <c r="A81" s="33"/>
      <c r="B81" s="33"/>
      <c r="C81" s="33"/>
      <c r="D81" s="33"/>
      <c r="E81" s="24"/>
    </row>
    <row r="82" spans="1:5" ht="15" x14ac:dyDescent="0.25">
      <c r="A82" s="33"/>
      <c r="B82" s="33"/>
      <c r="C82" s="33"/>
      <c r="D82" s="33"/>
      <c r="E82" s="3"/>
    </row>
    <row r="83" spans="1:5" ht="15" x14ac:dyDescent="0.25">
      <c r="A83" s="33"/>
      <c r="B83" s="33"/>
      <c r="C83" s="33"/>
      <c r="D83" s="33"/>
      <c r="E83" s="24"/>
    </row>
    <row r="84" spans="1:5" ht="15" x14ac:dyDescent="0.25">
      <c r="A84" s="33"/>
      <c r="B84" s="33"/>
      <c r="C84" s="33"/>
      <c r="D84" s="33"/>
      <c r="E84" s="69"/>
    </row>
    <row r="85" spans="1:5" ht="15" x14ac:dyDescent="0.25">
      <c r="A85" s="33"/>
      <c r="B85" s="33"/>
      <c r="C85" s="33"/>
      <c r="D85" s="33"/>
      <c r="E85" s="24"/>
    </row>
    <row r="86" spans="1:5" ht="15" x14ac:dyDescent="0.25">
      <c r="A86" s="33"/>
      <c r="B86" s="33"/>
      <c r="C86" s="33"/>
      <c r="D86" s="33"/>
      <c r="E86" s="69"/>
    </row>
    <row r="87" spans="1:5" ht="15" x14ac:dyDescent="0.25">
      <c r="A87" s="33"/>
      <c r="B87" s="33"/>
      <c r="C87" s="3"/>
      <c r="D87" s="33"/>
      <c r="E87" s="24"/>
    </row>
    <row r="88" spans="1:5" ht="15" x14ac:dyDescent="0.25">
      <c r="A88" s="33"/>
      <c r="B88" s="33"/>
      <c r="C88" s="3"/>
      <c r="D88" s="33"/>
      <c r="E88" s="3"/>
    </row>
    <row r="89" spans="1:5" ht="15" x14ac:dyDescent="0.25">
      <c r="A89" s="33"/>
      <c r="B89" s="33"/>
      <c r="C89" s="3"/>
      <c r="D89" s="33"/>
      <c r="E89" s="24"/>
    </row>
    <row r="90" spans="1:5" ht="15" x14ac:dyDescent="0.25">
      <c r="A90" s="33"/>
      <c r="B90" s="61"/>
      <c r="D90" s="61"/>
      <c r="E90" s="17"/>
    </row>
    <row r="91" spans="1:5" ht="15" x14ac:dyDescent="0.25">
      <c r="A91" s="33"/>
      <c r="B91" s="61"/>
      <c r="C91" s="61"/>
      <c r="D91" s="61"/>
      <c r="E91" s="61"/>
    </row>
    <row r="92" spans="1:5" ht="15" x14ac:dyDescent="0.25">
      <c r="A92" s="33"/>
      <c r="B92" s="3"/>
      <c r="C92" s="3"/>
      <c r="D92" s="33"/>
      <c r="E92" s="17"/>
    </row>
    <row r="93" spans="1:5" ht="15" x14ac:dyDescent="0.25">
      <c r="A93" s="27" t="s">
        <v>11</v>
      </c>
      <c r="B93" s="25"/>
      <c r="C93" s="25">
        <f>SUBTOTAL(103,Queensland_cubes[Panel Type])</f>
        <v>0</v>
      </c>
      <c r="D93" s="75">
        <f>SUBTOTAL(109,Queensland_cubes[Volume (m3)])</f>
        <v>0</v>
      </c>
      <c r="E93" s="26">
        <f>SUBTOTAL(109,Queensland_cubes[Area (m2)])</f>
        <v>0</v>
      </c>
    </row>
    <row r="94" spans="1:5" ht="15" x14ac:dyDescent="0.25"/>
    <row r="95" spans="1:5" ht="15" x14ac:dyDescent="0.25"/>
    <row r="96" spans="1:5" ht="15" x14ac:dyDescent="0.25"/>
    <row r="97" spans="1:6" ht="15" x14ac:dyDescent="0.25">
      <c r="A97" s="95" t="s">
        <v>13</v>
      </c>
      <c r="B97" s="96"/>
      <c r="C97" s="96"/>
      <c r="D97" s="96"/>
      <c r="E97" s="96"/>
      <c r="F97" s="96"/>
    </row>
    <row r="98" spans="1:6" ht="15" x14ac:dyDescent="0.25">
      <c r="A98" s="96"/>
      <c r="B98" s="96"/>
      <c r="C98" s="96"/>
      <c r="D98" s="96"/>
      <c r="E98" s="96"/>
      <c r="F98" s="96"/>
    </row>
    <row r="99" spans="1:6" ht="15" x14ac:dyDescent="0.25">
      <c r="A99" s="96"/>
      <c r="B99" s="96"/>
      <c r="C99" s="96"/>
      <c r="D99" s="96"/>
      <c r="E99" s="96"/>
      <c r="F99" s="96"/>
    </row>
    <row r="100" spans="1:6" ht="15" x14ac:dyDescent="0.25">
      <c r="A100" s="96"/>
      <c r="B100" s="96"/>
      <c r="C100" s="96"/>
      <c r="D100" s="96"/>
      <c r="E100" s="96"/>
      <c r="F100" s="96"/>
    </row>
    <row r="101" spans="1:6" ht="14.45" customHeight="1" x14ac:dyDescent="0.25"/>
    <row r="102" spans="1:6" ht="14.45" customHeight="1" x14ac:dyDescent="0.25"/>
    <row r="103" spans="1:6" ht="14.45" customHeight="1" x14ac:dyDescent="0.25"/>
    <row r="104" spans="1:6" ht="14.45" customHeight="1" x14ac:dyDescent="0.25"/>
    <row r="105" spans="1:6" ht="14.45" customHeight="1" x14ac:dyDescent="0.25"/>
    <row r="106" spans="1:6" ht="14.45" customHeight="1" x14ac:dyDescent="0.25"/>
    <row r="107" spans="1:6" ht="14.45" customHeight="1" x14ac:dyDescent="0.25"/>
    <row r="108" spans="1:6" ht="14.45" customHeight="1" x14ac:dyDescent="0.25"/>
    <row r="109" spans="1:6" ht="14.45" customHeight="1" x14ac:dyDescent="0.25"/>
    <row r="110" spans="1:6" ht="14.45" customHeight="1" x14ac:dyDescent="0.25"/>
    <row r="111" spans="1:6" ht="14.45" customHeight="1" x14ac:dyDescent="0.25"/>
    <row r="112" spans="1:6" ht="14.45" customHeight="1" x14ac:dyDescent="0.25"/>
    <row r="113" ht="14.45" customHeight="1" x14ac:dyDescent="0.25"/>
    <row r="114" ht="14.45" customHeight="1" x14ac:dyDescent="0.25"/>
    <row r="115" ht="14.45" customHeight="1" x14ac:dyDescent="0.25"/>
    <row r="116" ht="14.45" customHeight="1" x14ac:dyDescent="0.25"/>
    <row r="117" ht="14.45" customHeight="1" x14ac:dyDescent="0.25"/>
    <row r="118" ht="14.45" customHeight="1" x14ac:dyDescent="0.25"/>
    <row r="119" ht="14.45" customHeight="1" x14ac:dyDescent="0.25"/>
    <row r="120" ht="14.45" customHeight="1" x14ac:dyDescent="0.25"/>
    <row r="121" ht="14.45" customHeight="1" x14ac:dyDescent="0.25"/>
    <row r="122" ht="14.45" customHeight="1" x14ac:dyDescent="0.25"/>
    <row r="123" ht="14.45" customHeight="1" x14ac:dyDescent="0.25"/>
    <row r="124" ht="14.45" customHeight="1" x14ac:dyDescent="0.25"/>
    <row r="125" ht="14.45" customHeight="1" x14ac:dyDescent="0.25"/>
    <row r="126" ht="14.45" customHeight="1" x14ac:dyDescent="0.25"/>
    <row r="127" ht="14.45" customHeight="1" x14ac:dyDescent="0.25"/>
    <row r="128" ht="14.45" customHeight="1" x14ac:dyDescent="0.25"/>
  </sheetData>
  <mergeCells count="10">
    <mergeCell ref="A10:E10"/>
    <mergeCell ref="A69:E69"/>
    <mergeCell ref="A97:F100"/>
    <mergeCell ref="A1:C1"/>
    <mergeCell ref="B3:D3"/>
    <mergeCell ref="B4:C4"/>
    <mergeCell ref="B5:C5"/>
    <mergeCell ref="B6:C6"/>
    <mergeCell ref="B8:C8"/>
    <mergeCell ref="B7:C7"/>
  </mergeCells>
  <phoneticPr fontId="2" type="noConversion"/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3BAF-455C-438C-874E-53705C654488}">
  <dimension ref="A1:H91"/>
  <sheetViews>
    <sheetView zoomScale="130" zoomScaleNormal="130" workbookViewId="0">
      <selection activeCell="D1" sqref="D1"/>
    </sheetView>
  </sheetViews>
  <sheetFormatPr defaultColWidth="0" defaultRowHeight="14.45" customHeight="1" zeroHeight="1" x14ac:dyDescent="0.25"/>
  <cols>
    <col min="1" max="1" width="43" style="6" bestFit="1" customWidth="1"/>
    <col min="2" max="2" width="17.28515625" bestFit="1" customWidth="1"/>
    <col min="3" max="3" width="15.28515625" bestFit="1" customWidth="1"/>
    <col min="4" max="4" width="13" customWidth="1"/>
    <col min="5" max="5" width="11" customWidth="1"/>
    <col min="6" max="6" width="3.42578125" customWidth="1"/>
    <col min="7" max="8" width="0" hidden="1" customWidth="1"/>
    <col min="9" max="16384" width="8.85546875" hidden="1"/>
  </cols>
  <sheetData>
    <row r="1" spans="1:6" ht="20.25" customHeight="1" x14ac:dyDescent="0.25">
      <c r="A1" s="105" t="s">
        <v>62</v>
      </c>
      <c r="B1" s="105"/>
      <c r="C1" s="105"/>
      <c r="D1" t="s">
        <v>74</v>
      </c>
      <c r="E1" s="15">
        <v>46053</v>
      </c>
      <c r="F1" s="14"/>
    </row>
    <row r="2" spans="1:6" ht="15" x14ac:dyDescent="0.25">
      <c r="E2" s="5"/>
    </row>
    <row r="3" spans="1:6" ht="15" x14ac:dyDescent="0.25">
      <c r="B3" s="98" t="s">
        <v>0</v>
      </c>
      <c r="C3" s="99"/>
      <c r="D3" s="100"/>
    </row>
    <row r="4" spans="1:6" ht="15" x14ac:dyDescent="0.25">
      <c r="B4" s="101" t="s">
        <v>1</v>
      </c>
      <c r="C4" s="102"/>
      <c r="D4" s="10">
        <f>COUNTA(Victoria_flat[Project ID])</f>
        <v>0</v>
      </c>
      <c r="E4" s="7"/>
      <c r="F4" s="11"/>
    </row>
    <row r="5" spans="1:6" ht="15" x14ac:dyDescent="0.25">
      <c r="B5" s="101" t="s">
        <v>2</v>
      </c>
      <c r="C5" s="102"/>
      <c r="D5" s="10">
        <v>0</v>
      </c>
      <c r="F5" s="12"/>
    </row>
    <row r="6" spans="1:6" ht="15" x14ac:dyDescent="0.25">
      <c r="B6" s="101" t="s">
        <v>64</v>
      </c>
      <c r="C6" s="102"/>
      <c r="D6" s="3">
        <v>0</v>
      </c>
      <c r="F6" s="12"/>
    </row>
    <row r="7" spans="1:6" ht="15" x14ac:dyDescent="0.25">
      <c r="B7" s="101" t="s">
        <v>63</v>
      </c>
      <c r="C7" s="102"/>
      <c r="D7" s="3">
        <v>0</v>
      </c>
      <c r="F7" s="12"/>
    </row>
    <row r="8" spans="1:6" ht="15" x14ac:dyDescent="0.25">
      <c r="B8" s="103" t="s">
        <v>4</v>
      </c>
      <c r="C8" s="104"/>
      <c r="D8" s="69">
        <f>Victoria_flat[[#Totals],[Volume (m3)]]+Victoria_cubes[[#Totals],[Volume (m3)]]</f>
        <v>0</v>
      </c>
      <c r="F8" s="12"/>
    </row>
    <row r="9" spans="1:6" ht="15" x14ac:dyDescent="0.25">
      <c r="F9" s="12"/>
    </row>
    <row r="10" spans="1:6" ht="15" x14ac:dyDescent="0.25">
      <c r="A10" s="94" t="s">
        <v>5</v>
      </c>
      <c r="B10" s="94"/>
      <c r="C10" s="94"/>
      <c r="D10" s="94"/>
      <c r="E10" s="94"/>
      <c r="F10" s="12"/>
    </row>
    <row r="11" spans="1:6" s="2" customFormat="1" ht="15" x14ac:dyDescent="0.25">
      <c r="A11" s="19" t="s">
        <v>6</v>
      </c>
      <c r="B11" s="20" t="s">
        <v>7</v>
      </c>
      <c r="C11" s="20" t="s">
        <v>8</v>
      </c>
      <c r="D11" s="20" t="s">
        <v>9</v>
      </c>
      <c r="E11" s="21" t="s">
        <v>10</v>
      </c>
      <c r="F11" s="12"/>
    </row>
    <row r="12" spans="1:6" s="1" customFormat="1" ht="14.45" customHeight="1" x14ac:dyDescent="0.25">
      <c r="A12" s="35"/>
      <c r="B12" s="35"/>
      <c r="C12" s="35"/>
      <c r="D12" s="74"/>
      <c r="E12" s="71"/>
      <c r="F12" s="12"/>
    </row>
    <row r="13" spans="1:6" s="1" customFormat="1" ht="14.45" customHeight="1" x14ac:dyDescent="0.25">
      <c r="A13" s="35"/>
      <c r="B13" s="35"/>
      <c r="C13" s="35"/>
      <c r="D13" s="74"/>
      <c r="E13" s="71"/>
      <c r="F13" s="6"/>
    </row>
    <row r="14" spans="1:6" s="1" customFormat="1" ht="14.45" customHeight="1" x14ac:dyDescent="0.25">
      <c r="A14" s="35"/>
      <c r="B14" s="35"/>
      <c r="C14" s="35"/>
      <c r="D14" s="74"/>
      <c r="E14" s="71"/>
      <c r="F14" s="6"/>
    </row>
    <row r="15" spans="1:6" s="1" customFormat="1" ht="14.45" customHeight="1" x14ac:dyDescent="0.25">
      <c r="A15" s="35"/>
      <c r="B15" s="35"/>
      <c r="C15" s="35"/>
      <c r="D15" s="74"/>
      <c r="E15" s="71"/>
      <c r="F15" s="6"/>
    </row>
    <row r="16" spans="1:6" s="1" customFormat="1" ht="14.45" customHeight="1" x14ac:dyDescent="0.25">
      <c r="A16" s="35"/>
      <c r="B16" s="35"/>
      <c r="C16" s="35"/>
      <c r="D16" s="74"/>
      <c r="E16" s="71"/>
      <c r="F16" s="6"/>
    </row>
    <row r="17" spans="1:6" s="1" customFormat="1" ht="14.45" customHeight="1" x14ac:dyDescent="0.25">
      <c r="A17" s="35"/>
      <c r="B17" s="35"/>
      <c r="C17" s="35"/>
      <c r="D17" s="74"/>
      <c r="E17" s="71"/>
      <c r="F17" s="6"/>
    </row>
    <row r="18" spans="1:6" s="1" customFormat="1" ht="14.45" customHeight="1" x14ac:dyDescent="0.25">
      <c r="A18" s="35"/>
      <c r="B18" s="35"/>
      <c r="C18" s="35"/>
      <c r="D18" s="74"/>
      <c r="E18" s="71"/>
      <c r="F18" s="6"/>
    </row>
    <row r="19" spans="1:6" s="1" customFormat="1" ht="14.45" customHeight="1" x14ac:dyDescent="0.25">
      <c r="A19" s="35"/>
      <c r="B19" s="35"/>
      <c r="C19" s="35"/>
      <c r="D19" s="74"/>
      <c r="E19" s="71"/>
      <c r="F19" s="6"/>
    </row>
    <row r="20" spans="1:6" s="1" customFormat="1" ht="14.45" customHeight="1" x14ac:dyDescent="0.25">
      <c r="A20" s="35"/>
      <c r="B20" s="35"/>
      <c r="C20" s="35"/>
      <c r="D20" s="74"/>
      <c r="E20" s="71"/>
      <c r="F20" s="6"/>
    </row>
    <row r="21" spans="1:6" s="1" customFormat="1" ht="14.45" customHeight="1" x14ac:dyDescent="0.25">
      <c r="A21" s="35"/>
      <c r="B21" s="35"/>
      <c r="C21" s="35"/>
      <c r="D21" s="74"/>
      <c r="E21" s="71"/>
      <c r="F21" s="6"/>
    </row>
    <row r="22" spans="1:6" s="1" customFormat="1" ht="14.45" customHeight="1" x14ac:dyDescent="0.25">
      <c r="A22" s="35"/>
      <c r="B22" s="35"/>
      <c r="C22" s="35"/>
      <c r="D22" s="74"/>
      <c r="E22" s="71"/>
      <c r="F22" s="6"/>
    </row>
    <row r="23" spans="1:6" s="1" customFormat="1" ht="14.45" customHeight="1" x14ac:dyDescent="0.25">
      <c r="A23" s="35"/>
      <c r="B23" s="35"/>
      <c r="C23" s="35"/>
      <c r="D23" s="74"/>
      <c r="E23" s="71"/>
      <c r="F23" s="6"/>
    </row>
    <row r="24" spans="1:6" s="1" customFormat="1" ht="14.45" customHeight="1" x14ac:dyDescent="0.25">
      <c r="A24" s="35"/>
      <c r="B24" s="35"/>
      <c r="C24" s="35"/>
      <c r="D24" s="74"/>
      <c r="E24" s="71"/>
      <c r="F24" s="6"/>
    </row>
    <row r="25" spans="1:6" s="1" customFormat="1" ht="14.45" customHeight="1" x14ac:dyDescent="0.25">
      <c r="A25" s="35"/>
      <c r="B25" s="35"/>
      <c r="C25" s="35"/>
      <c r="D25" s="74"/>
      <c r="E25" s="71"/>
      <c r="F25" s="6"/>
    </row>
    <row r="26" spans="1:6" s="1" customFormat="1" ht="14.45" customHeight="1" x14ac:dyDescent="0.25">
      <c r="A26" s="35"/>
      <c r="B26" s="35"/>
      <c r="C26" s="35"/>
      <c r="D26" s="74"/>
      <c r="E26" s="71"/>
      <c r="F26" s="6"/>
    </row>
    <row r="27" spans="1:6" s="1" customFormat="1" ht="14.45" customHeight="1" x14ac:dyDescent="0.25">
      <c r="A27" s="35"/>
      <c r="B27" s="35"/>
      <c r="C27" s="35"/>
      <c r="D27" s="74"/>
      <c r="E27" s="71"/>
      <c r="F27" s="6"/>
    </row>
    <row r="28" spans="1:6" s="1" customFormat="1" ht="14.45" customHeight="1" x14ac:dyDescent="0.25">
      <c r="A28" s="35"/>
      <c r="B28" s="35"/>
      <c r="C28" s="35"/>
      <c r="D28" s="74"/>
      <c r="E28" s="71"/>
      <c r="F28" s="6"/>
    </row>
    <row r="29" spans="1:6" s="1" customFormat="1" ht="14.45" customHeight="1" x14ac:dyDescent="0.25">
      <c r="A29" s="35"/>
      <c r="B29" s="35"/>
      <c r="C29" s="35"/>
      <c r="D29" s="74"/>
      <c r="E29" s="71"/>
      <c r="F29" s="6"/>
    </row>
    <row r="30" spans="1:6" s="1" customFormat="1" ht="14.45" customHeight="1" x14ac:dyDescent="0.25">
      <c r="A30" s="35"/>
      <c r="B30" s="35"/>
      <c r="C30" s="35"/>
      <c r="D30" s="74"/>
      <c r="E30" s="71"/>
      <c r="F30" s="6"/>
    </row>
    <row r="31" spans="1:6" s="1" customFormat="1" ht="14.45" customHeight="1" x14ac:dyDescent="0.25">
      <c r="A31" s="35"/>
      <c r="B31" s="35"/>
      <c r="C31" s="35"/>
      <c r="D31" s="74"/>
      <c r="E31" s="71"/>
      <c r="F31" s="6"/>
    </row>
    <row r="32" spans="1:6" s="1" customFormat="1" ht="14.45" customHeight="1" x14ac:dyDescent="0.25">
      <c r="A32" s="35"/>
      <c r="B32" s="35"/>
      <c r="C32" s="35"/>
      <c r="D32" s="74"/>
      <c r="E32" s="71"/>
      <c r="F32" s="6"/>
    </row>
    <row r="33" spans="1:6" s="1" customFormat="1" ht="14.45" customHeight="1" x14ac:dyDescent="0.25">
      <c r="A33" s="35"/>
      <c r="B33" s="35"/>
      <c r="C33" s="35"/>
      <c r="D33" s="74"/>
      <c r="E33" s="71"/>
      <c r="F33" s="6"/>
    </row>
    <row r="34" spans="1:6" s="1" customFormat="1" ht="14.45" customHeight="1" x14ac:dyDescent="0.25">
      <c r="A34" s="35"/>
      <c r="B34" s="35"/>
      <c r="C34" s="35"/>
      <c r="D34" s="74"/>
      <c r="E34" s="60"/>
      <c r="F34" s="6"/>
    </row>
    <row r="35" spans="1:6" s="1" customFormat="1" ht="14.45" customHeight="1" x14ac:dyDescent="0.25">
      <c r="A35" s="16"/>
      <c r="B35" s="35"/>
      <c r="C35" s="35"/>
      <c r="D35" s="82"/>
      <c r="E35" s="60"/>
      <c r="F35" s="6"/>
    </row>
    <row r="36" spans="1:6" s="1" customFormat="1" ht="14.45" customHeight="1" x14ac:dyDescent="0.25">
      <c r="A36" s="16"/>
      <c r="B36" s="3"/>
      <c r="C36" s="3"/>
      <c r="D36" s="3"/>
      <c r="E36" s="17"/>
      <c r="F36" s="6"/>
    </row>
    <row r="37" spans="1:6" s="1" customFormat="1" ht="14.45" customHeight="1" x14ac:dyDescent="0.25">
      <c r="A37" s="16"/>
      <c r="B37" s="3"/>
      <c r="C37" s="3"/>
      <c r="D37" s="3"/>
      <c r="E37" s="17"/>
      <c r="F37" s="6"/>
    </row>
    <row r="38" spans="1:6" s="1" customFormat="1" ht="14.45" customHeight="1" x14ac:dyDescent="0.25">
      <c r="A38" s="16"/>
      <c r="B38" s="3"/>
      <c r="C38" s="3"/>
      <c r="D38" s="3"/>
      <c r="E38" s="17"/>
      <c r="F38" s="6"/>
    </row>
    <row r="39" spans="1:6" s="1" customFormat="1" ht="14.45" customHeight="1" x14ac:dyDescent="0.25">
      <c r="A39" s="16"/>
      <c r="B39" s="3"/>
      <c r="C39" s="3"/>
      <c r="D39" s="3"/>
      <c r="E39" s="17"/>
      <c r="F39" s="6"/>
    </row>
    <row r="40" spans="1:6" s="1" customFormat="1" ht="14.45" customHeight="1" x14ac:dyDescent="0.25">
      <c r="A40" s="16"/>
      <c r="B40" s="3"/>
      <c r="C40" s="3"/>
      <c r="D40" s="3"/>
      <c r="E40" s="17"/>
      <c r="F40" s="6"/>
    </row>
    <row r="41" spans="1:6" s="1" customFormat="1" ht="14.45" customHeight="1" x14ac:dyDescent="0.25">
      <c r="A41" s="16"/>
      <c r="B41" s="3"/>
      <c r="C41" s="3"/>
      <c r="D41" s="3"/>
      <c r="E41" s="17"/>
      <c r="F41" s="6"/>
    </row>
    <row r="42" spans="1:6" s="1" customFormat="1" ht="14.45" customHeight="1" x14ac:dyDescent="0.25">
      <c r="A42" s="16"/>
      <c r="B42" s="3"/>
      <c r="C42" s="3"/>
      <c r="D42" s="3"/>
      <c r="E42" s="17"/>
      <c r="F42" s="6"/>
    </row>
    <row r="43" spans="1:6" s="1" customFormat="1" ht="14.45" customHeight="1" x14ac:dyDescent="0.25">
      <c r="A43" s="16"/>
      <c r="B43" s="3"/>
      <c r="C43" s="3"/>
      <c r="D43" s="3"/>
      <c r="E43" s="17"/>
      <c r="F43" s="6"/>
    </row>
    <row r="44" spans="1:6" s="1" customFormat="1" ht="14.45" customHeight="1" x14ac:dyDescent="0.25">
      <c r="A44" s="16"/>
      <c r="B44" s="3"/>
      <c r="C44" s="3"/>
      <c r="D44" s="3"/>
      <c r="E44" s="17"/>
      <c r="F44" s="6"/>
    </row>
    <row r="45" spans="1:6" s="1" customFormat="1" ht="14.45" customHeight="1" x14ac:dyDescent="0.25">
      <c r="A45" s="16"/>
      <c r="B45" s="3"/>
      <c r="C45" s="3"/>
      <c r="D45" s="3"/>
      <c r="E45" s="17"/>
      <c r="F45" s="6"/>
    </row>
    <row r="46" spans="1:6" s="1" customFormat="1" ht="14.45" customHeight="1" x14ac:dyDescent="0.25">
      <c r="A46" s="16"/>
      <c r="B46" s="3"/>
      <c r="C46" s="3"/>
      <c r="D46" s="3"/>
      <c r="E46" s="17"/>
      <c r="F46" s="6"/>
    </row>
    <row r="47" spans="1:6" s="1" customFormat="1" ht="14.45" customHeight="1" x14ac:dyDescent="0.25">
      <c r="A47" s="16"/>
      <c r="B47" s="3"/>
      <c r="C47" s="3"/>
      <c r="D47" s="3"/>
      <c r="E47" s="17"/>
      <c r="F47" s="6"/>
    </row>
    <row r="48" spans="1:6" s="1" customFormat="1" ht="14.45" customHeight="1" x14ac:dyDescent="0.25">
      <c r="A48" s="16"/>
      <c r="B48" s="3"/>
      <c r="C48" s="3"/>
      <c r="D48" s="3"/>
      <c r="E48" s="17"/>
      <c r="F48" s="6"/>
    </row>
    <row r="49" spans="1:6" s="1" customFormat="1" ht="14.45" customHeight="1" x14ac:dyDescent="0.25">
      <c r="A49" s="16"/>
      <c r="B49" s="3"/>
      <c r="C49" s="3"/>
      <c r="D49" s="3"/>
      <c r="E49" s="17"/>
      <c r="F49" s="6"/>
    </row>
    <row r="50" spans="1:6" s="1" customFormat="1" ht="14.45" customHeight="1" x14ac:dyDescent="0.25">
      <c r="A50" s="16"/>
      <c r="B50" s="3"/>
      <c r="C50" s="3"/>
      <c r="D50" s="3"/>
      <c r="E50" s="17"/>
      <c r="F50" s="6"/>
    </row>
    <row r="51" spans="1:6" s="1" customFormat="1" ht="14.45" customHeight="1" x14ac:dyDescent="0.25">
      <c r="A51" s="16"/>
      <c r="B51" s="3"/>
      <c r="C51" s="3"/>
      <c r="D51" s="3"/>
      <c r="E51" s="17"/>
      <c r="F51" s="6"/>
    </row>
    <row r="52" spans="1:6" s="1" customFormat="1" ht="14.45" customHeight="1" x14ac:dyDescent="0.25">
      <c r="A52" s="16"/>
      <c r="B52" s="3"/>
      <c r="C52" s="3"/>
      <c r="D52" s="3"/>
      <c r="E52" s="17"/>
      <c r="F52" s="6"/>
    </row>
    <row r="53" spans="1:6" s="1" customFormat="1" ht="14.45" customHeight="1" x14ac:dyDescent="0.25">
      <c r="A53" s="16"/>
      <c r="B53" s="3"/>
      <c r="C53" s="3"/>
      <c r="D53" s="3"/>
      <c r="E53" s="17"/>
      <c r="F53" s="6"/>
    </row>
    <row r="54" spans="1:6" s="1" customFormat="1" ht="14.45" customHeight="1" x14ac:dyDescent="0.25">
      <c r="A54" s="16"/>
      <c r="B54" s="3"/>
      <c r="C54" s="3"/>
      <c r="D54" s="3"/>
      <c r="E54" s="17"/>
      <c r="F54" s="6"/>
    </row>
    <row r="55" spans="1:6" s="1" customFormat="1" ht="14.45" customHeight="1" x14ac:dyDescent="0.25">
      <c r="A55" s="16"/>
      <c r="B55" s="3"/>
      <c r="C55" s="3"/>
      <c r="D55" s="3"/>
      <c r="E55" s="17"/>
      <c r="F55" s="6"/>
    </row>
    <row r="56" spans="1:6" s="1" customFormat="1" ht="14.45" customHeight="1" x14ac:dyDescent="0.25">
      <c r="A56" s="16"/>
      <c r="B56" s="3"/>
      <c r="C56" s="3"/>
      <c r="D56" s="3"/>
      <c r="E56" s="17"/>
      <c r="F56" s="6"/>
    </row>
    <row r="57" spans="1:6" s="1" customFormat="1" ht="14.45" customHeight="1" x14ac:dyDescent="0.25">
      <c r="A57" s="16"/>
      <c r="B57" s="3"/>
      <c r="C57" s="3"/>
      <c r="D57" s="8"/>
      <c r="E57" s="18"/>
      <c r="F57" s="6"/>
    </row>
    <row r="58" spans="1:6" s="1" customFormat="1" ht="14.45" customHeight="1" x14ac:dyDescent="0.25">
      <c r="A58" s="30" t="s">
        <v>11</v>
      </c>
      <c r="B58" s="8"/>
      <c r="C58" s="31">
        <f>SUBTOTAL(103,Victoria_flat[Panel Type])</f>
        <v>0</v>
      </c>
      <c r="D58" s="32">
        <f>+SUBTOTAL(109,Victoria_flat[Volume (m3)])</f>
        <v>0</v>
      </c>
      <c r="E58" s="32">
        <f>+SUBTOTAL(109,Victoria_flat[Area (m2)])</f>
        <v>0</v>
      </c>
      <c r="F58" s="6"/>
    </row>
    <row r="59" spans="1:6" s="1" customFormat="1" ht="14.45" customHeight="1" x14ac:dyDescent="0.25">
      <c r="A59" s="22"/>
      <c r="B59"/>
      <c r="C59"/>
      <c r="D59"/>
      <c r="E59"/>
      <c r="F59" s="6"/>
    </row>
    <row r="60" spans="1:6" ht="15" x14ac:dyDescent="0.25">
      <c r="D60" s="4"/>
      <c r="E60" s="4"/>
      <c r="F60" s="4"/>
    </row>
    <row r="61" spans="1:6" ht="15" x14ac:dyDescent="0.25">
      <c r="A61" s="94" t="s">
        <v>12</v>
      </c>
      <c r="B61" s="94"/>
      <c r="C61" s="94"/>
      <c r="D61" s="94"/>
      <c r="E61" s="94"/>
      <c r="F61" s="13"/>
    </row>
    <row r="62" spans="1:6" ht="15" x14ac:dyDescent="0.25">
      <c r="A62" s="19" t="s">
        <v>6</v>
      </c>
      <c r="B62" s="20" t="s">
        <v>7</v>
      </c>
      <c r="C62" s="20" t="s">
        <v>8</v>
      </c>
      <c r="D62" s="20" t="s">
        <v>9</v>
      </c>
      <c r="E62" s="21" t="s">
        <v>10</v>
      </c>
      <c r="F62" s="2"/>
    </row>
    <row r="63" spans="1:6" ht="15" x14ac:dyDescent="0.25">
      <c r="A63" s="35"/>
      <c r="B63" s="35"/>
      <c r="C63" s="35"/>
      <c r="D63" s="83"/>
      <c r="E63" s="83"/>
      <c r="F63" s="2"/>
    </row>
    <row r="64" spans="1:6" ht="15" x14ac:dyDescent="0.25">
      <c r="A64" s="35"/>
      <c r="B64" s="35"/>
      <c r="C64" s="35"/>
      <c r="D64" s="84"/>
      <c r="E64" s="84"/>
      <c r="F64" s="2"/>
    </row>
    <row r="65" spans="1:6" ht="15" x14ac:dyDescent="0.25">
      <c r="A65" s="35"/>
      <c r="B65" s="35"/>
      <c r="C65" s="35"/>
      <c r="D65" s="83"/>
      <c r="E65" s="83"/>
      <c r="F65" s="2"/>
    </row>
    <row r="66" spans="1:6" ht="15" x14ac:dyDescent="0.25">
      <c r="A66" s="35"/>
      <c r="B66" s="35"/>
      <c r="C66" s="35"/>
      <c r="D66" s="81"/>
      <c r="E66" s="81"/>
      <c r="F66" s="2"/>
    </row>
    <row r="67" spans="1:6" ht="15" x14ac:dyDescent="0.25">
      <c r="A67" s="35"/>
      <c r="B67" s="35"/>
      <c r="C67" s="35"/>
      <c r="D67" s="80"/>
      <c r="E67" s="80"/>
      <c r="F67" s="6"/>
    </row>
    <row r="68" spans="1:6" ht="15" x14ac:dyDescent="0.25">
      <c r="A68" s="35"/>
      <c r="B68" s="35"/>
      <c r="C68" s="35"/>
      <c r="D68" s="66"/>
      <c r="E68" s="66"/>
      <c r="F68" s="4"/>
    </row>
    <row r="69" spans="1:6" ht="15" x14ac:dyDescent="0.25">
      <c r="A69" s="35"/>
      <c r="B69" s="35"/>
      <c r="C69" s="35"/>
      <c r="D69" s="64"/>
      <c r="E69" s="64"/>
      <c r="F69" s="4"/>
    </row>
    <row r="70" spans="1:6" ht="15" x14ac:dyDescent="0.25">
      <c r="A70" s="35"/>
      <c r="B70" s="35"/>
      <c r="C70" s="35"/>
      <c r="D70" s="66"/>
      <c r="E70" s="67"/>
    </row>
    <row r="71" spans="1:6" ht="15" x14ac:dyDescent="0.25">
      <c r="A71" s="35"/>
      <c r="B71" s="35"/>
      <c r="C71" s="35"/>
      <c r="D71" s="64"/>
      <c r="E71" s="65"/>
    </row>
    <row r="72" spans="1:6" ht="15" x14ac:dyDescent="0.25">
      <c r="A72" s="35"/>
      <c r="B72" s="35"/>
      <c r="C72" s="35"/>
      <c r="D72" s="66"/>
      <c r="E72" s="67"/>
    </row>
    <row r="73" spans="1:6" ht="15" x14ac:dyDescent="0.25">
      <c r="A73" s="35"/>
      <c r="B73" s="35"/>
      <c r="C73" s="35"/>
      <c r="D73" s="64"/>
      <c r="E73" s="65"/>
    </row>
    <row r="74" spans="1:6" ht="15" x14ac:dyDescent="0.25">
      <c r="A74" s="35"/>
      <c r="B74" s="35"/>
      <c r="C74" s="35"/>
      <c r="D74" s="66"/>
      <c r="E74" s="67"/>
    </row>
    <row r="75" spans="1:6" ht="15" x14ac:dyDescent="0.25">
      <c r="A75" s="30" t="s">
        <v>11</v>
      </c>
      <c r="B75" s="79"/>
      <c r="C75" s="79">
        <f>SUBTOTAL(103,Victoria_cubes[Panel Type])</f>
        <v>0</v>
      </c>
      <c r="D75" s="70">
        <f>SUBTOTAL(109,Victoria_cubes[Volume (m3)])</f>
        <v>0</v>
      </c>
      <c r="E75" s="68">
        <f>SUBTOTAL(109,Victoria_cubes[Area (m2)])</f>
        <v>0</v>
      </c>
    </row>
    <row r="76" spans="1:6" ht="15" x14ac:dyDescent="0.25"/>
    <row r="77" spans="1:6" ht="15" x14ac:dyDescent="0.25"/>
    <row r="78" spans="1:6" ht="15" x14ac:dyDescent="0.25"/>
    <row r="79" spans="1:6" ht="15" x14ac:dyDescent="0.25">
      <c r="A79" s="95" t="s">
        <v>13</v>
      </c>
      <c r="B79" s="96"/>
      <c r="C79" s="96"/>
      <c r="D79" s="96"/>
      <c r="E79" s="96"/>
      <c r="F79" s="96"/>
    </row>
    <row r="80" spans="1:6" ht="15" x14ac:dyDescent="0.25">
      <c r="A80" s="96"/>
      <c r="B80" s="96"/>
      <c r="C80" s="96"/>
      <c r="D80" s="96"/>
      <c r="E80" s="96"/>
      <c r="F80" s="96"/>
    </row>
    <row r="81" spans="1:6" ht="15" x14ac:dyDescent="0.25">
      <c r="A81" s="96"/>
      <c r="B81" s="96"/>
      <c r="C81" s="96"/>
      <c r="D81" s="96"/>
      <c r="E81" s="96"/>
      <c r="F81" s="96"/>
    </row>
    <row r="82" spans="1:6" ht="15" x14ac:dyDescent="0.25">
      <c r="A82" s="96"/>
      <c r="B82" s="96"/>
      <c r="C82" s="96"/>
      <c r="D82" s="96"/>
      <c r="E82" s="96"/>
      <c r="F82" s="96"/>
    </row>
    <row r="83" spans="1:6" ht="14.45" customHeight="1" x14ac:dyDescent="0.25"/>
    <row r="84" spans="1:6" ht="14.45" customHeight="1" x14ac:dyDescent="0.25"/>
    <row r="85" spans="1:6" ht="14.45" customHeight="1" x14ac:dyDescent="0.25"/>
    <row r="86" spans="1:6" ht="14.45" customHeight="1" x14ac:dyDescent="0.25"/>
    <row r="87" spans="1:6" ht="14.45" customHeight="1" x14ac:dyDescent="0.25"/>
    <row r="88" spans="1:6" ht="14.45" customHeight="1" x14ac:dyDescent="0.25"/>
    <row r="89" spans="1:6" ht="14.45" customHeight="1" x14ac:dyDescent="0.25"/>
    <row r="90" spans="1:6" ht="14.45" customHeight="1" x14ac:dyDescent="0.25"/>
    <row r="91" spans="1:6" ht="14.45" customHeight="1" x14ac:dyDescent="0.25"/>
  </sheetData>
  <mergeCells count="10">
    <mergeCell ref="B8:C8"/>
    <mergeCell ref="A79:F82"/>
    <mergeCell ref="A1:C1"/>
    <mergeCell ref="B4:C4"/>
    <mergeCell ref="B3:D3"/>
    <mergeCell ref="A10:E10"/>
    <mergeCell ref="A61:E61"/>
    <mergeCell ref="B5:C5"/>
    <mergeCell ref="B7:C7"/>
    <mergeCell ref="B6:C6"/>
  </mergeCells>
  <phoneticPr fontId="2" type="noConversion"/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EA15-A169-4588-BCCC-000E5432BFD9}">
  <dimension ref="A2:K94"/>
  <sheetViews>
    <sheetView workbookViewId="0">
      <selection activeCell="C61" sqref="C61"/>
    </sheetView>
  </sheetViews>
  <sheetFormatPr defaultRowHeight="15" x14ac:dyDescent="0.25"/>
  <cols>
    <col min="1" max="1" width="44.5703125" bestFit="1" customWidth="1"/>
    <col min="2" max="2" width="15" bestFit="1" customWidth="1"/>
    <col min="3" max="3" width="13" bestFit="1" customWidth="1"/>
    <col min="4" max="4" width="14.7109375" bestFit="1" customWidth="1"/>
    <col min="5" max="5" width="11.85546875" bestFit="1" customWidth="1"/>
    <col min="7" max="7" width="37.28515625" bestFit="1" customWidth="1"/>
    <col min="8" max="8" width="14.42578125" bestFit="1" customWidth="1"/>
    <col min="9" max="9" width="16" customWidth="1"/>
    <col min="10" max="10" width="14.7109375" bestFit="1" customWidth="1"/>
    <col min="11" max="11" width="11.85546875" bestFit="1" customWidth="1"/>
  </cols>
  <sheetData>
    <row r="2" spans="1:11" ht="15.75" thickBot="1" x14ac:dyDescent="0.3">
      <c r="A2" s="106" t="s">
        <v>5</v>
      </c>
      <c r="B2" s="106"/>
      <c r="C2" s="106"/>
      <c r="D2" s="106"/>
      <c r="E2" s="106"/>
      <c r="G2" s="106" t="s">
        <v>12</v>
      </c>
      <c r="H2" s="106"/>
      <c r="I2" s="106"/>
      <c r="J2" s="106"/>
      <c r="K2" s="106"/>
    </row>
    <row r="3" spans="1:11" x14ac:dyDescent="0.25">
      <c r="A3" s="43" t="s">
        <v>61</v>
      </c>
      <c r="B3" s="44"/>
      <c r="C3" s="44"/>
      <c r="D3" s="44"/>
      <c r="E3" s="45"/>
      <c r="G3" s="40" t="s">
        <v>61</v>
      </c>
      <c r="H3" s="34"/>
      <c r="I3" s="34"/>
      <c r="J3" s="34"/>
      <c r="K3" s="34"/>
    </row>
    <row r="4" spans="1:11" x14ac:dyDescent="0.25">
      <c r="A4" s="36" t="s">
        <v>6</v>
      </c>
      <c r="B4" t="s">
        <v>7</v>
      </c>
      <c r="C4" t="s">
        <v>8</v>
      </c>
      <c r="D4" t="s">
        <v>9</v>
      </c>
      <c r="E4" s="46" t="s">
        <v>10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1" x14ac:dyDescent="0.25">
      <c r="A5" s="35"/>
      <c r="B5" s="35"/>
      <c r="C5" s="35"/>
      <c r="D5" s="74"/>
      <c r="E5" s="71"/>
      <c r="G5" s="35"/>
      <c r="H5" s="35"/>
      <c r="I5" s="35"/>
      <c r="J5" s="83"/>
      <c r="K5" s="83"/>
    </row>
    <row r="6" spans="1:11" x14ac:dyDescent="0.25">
      <c r="A6" s="35"/>
      <c r="B6" s="35"/>
      <c r="C6" s="35"/>
      <c r="D6" s="74"/>
      <c r="E6" s="71"/>
      <c r="G6" s="35"/>
      <c r="H6" s="35"/>
      <c r="I6" s="35"/>
      <c r="J6" s="84"/>
      <c r="K6" s="84"/>
    </row>
    <row r="7" spans="1:11" x14ac:dyDescent="0.25">
      <c r="A7" s="35"/>
      <c r="B7" s="35"/>
      <c r="C7" s="35"/>
      <c r="D7" s="74"/>
      <c r="E7" s="71"/>
      <c r="G7" s="35"/>
      <c r="H7" s="35"/>
      <c r="I7" s="35"/>
      <c r="J7" s="83"/>
      <c r="K7" s="83"/>
    </row>
    <row r="8" spans="1:11" x14ac:dyDescent="0.25">
      <c r="A8" s="35"/>
      <c r="B8" s="35"/>
      <c r="C8" s="35"/>
      <c r="D8" s="74"/>
      <c r="E8" s="71"/>
      <c r="G8" s="35"/>
      <c r="H8" s="35"/>
      <c r="I8" s="35"/>
      <c r="J8" s="89"/>
      <c r="K8" s="81"/>
    </row>
    <row r="9" spans="1:11" x14ac:dyDescent="0.25">
      <c r="A9" s="35"/>
      <c r="B9" s="35"/>
      <c r="C9" s="35"/>
      <c r="D9" s="74"/>
      <c r="E9" s="71"/>
      <c r="G9" s="35"/>
      <c r="H9" s="35"/>
      <c r="I9" s="35"/>
      <c r="J9" s="90"/>
      <c r="K9" s="80"/>
    </row>
    <row r="10" spans="1:11" x14ac:dyDescent="0.25">
      <c r="A10" s="35"/>
      <c r="B10" s="35"/>
      <c r="C10" s="35"/>
      <c r="D10" s="74"/>
      <c r="E10" s="71"/>
      <c r="G10" s="35"/>
      <c r="H10" s="35"/>
      <c r="I10" s="35"/>
      <c r="J10" s="60"/>
      <c r="K10" s="66"/>
    </row>
    <row r="11" spans="1:11" x14ac:dyDescent="0.25">
      <c r="A11" s="35"/>
      <c r="B11" s="35"/>
      <c r="C11" s="35"/>
      <c r="D11" s="74"/>
      <c r="E11" s="71"/>
      <c r="G11" s="35"/>
      <c r="H11" s="35"/>
      <c r="I11" s="35"/>
      <c r="J11" s="91"/>
      <c r="K11" s="64"/>
    </row>
    <row r="12" spans="1:11" x14ac:dyDescent="0.25">
      <c r="A12" s="35"/>
      <c r="B12" s="35"/>
      <c r="C12" s="35"/>
      <c r="D12" s="74"/>
      <c r="E12" s="71"/>
      <c r="G12" s="85"/>
      <c r="H12" s="82"/>
      <c r="I12" s="82"/>
      <c r="J12" s="82"/>
      <c r="K12" s="17"/>
    </row>
    <row r="13" spans="1:11" x14ac:dyDescent="0.25">
      <c r="A13" s="35"/>
      <c r="B13" s="35"/>
      <c r="C13" s="35"/>
      <c r="D13" s="74"/>
      <c r="E13" s="71"/>
      <c r="G13" s="86"/>
      <c r="H13" s="78"/>
      <c r="I13" s="78"/>
      <c r="J13" s="78"/>
      <c r="K13" s="24"/>
    </row>
    <row r="14" spans="1:11" x14ac:dyDescent="0.25">
      <c r="A14" s="35"/>
      <c r="B14" s="35"/>
      <c r="C14" s="35"/>
      <c r="D14" s="74"/>
      <c r="E14" s="71"/>
      <c r="G14" s="85"/>
      <c r="H14" s="82"/>
      <c r="I14" s="82"/>
      <c r="J14" s="82"/>
      <c r="K14" s="17"/>
    </row>
    <row r="15" spans="1:11" x14ac:dyDescent="0.25">
      <c r="A15" s="35"/>
      <c r="B15" s="35"/>
      <c r="C15" s="35"/>
      <c r="D15" s="74"/>
      <c r="E15" s="71"/>
      <c r="G15" s="86"/>
      <c r="H15" s="78"/>
      <c r="I15" s="78"/>
      <c r="J15" s="78"/>
      <c r="K15" s="24"/>
    </row>
    <row r="16" spans="1:11" ht="15.75" thickBot="1" x14ac:dyDescent="0.3">
      <c r="A16" s="35"/>
      <c r="B16" s="35"/>
      <c r="C16" s="35"/>
      <c r="D16" s="74"/>
      <c r="E16" s="71"/>
      <c r="G16" s="87"/>
      <c r="H16" s="88"/>
      <c r="I16" s="88"/>
      <c r="J16" s="88"/>
      <c r="K16" s="62"/>
    </row>
    <row r="17" spans="1:11" ht="15.75" x14ac:dyDescent="0.25">
      <c r="A17" s="35"/>
      <c r="B17" s="35"/>
      <c r="C17" s="35"/>
      <c r="D17" s="74"/>
      <c r="E17" s="71"/>
      <c r="G17" s="63" t="s">
        <v>60</v>
      </c>
      <c r="H17" s="53"/>
      <c r="I17" s="53"/>
      <c r="J17" s="53"/>
      <c r="K17" s="52"/>
    </row>
    <row r="18" spans="1:11" x14ac:dyDescent="0.25">
      <c r="A18" s="35"/>
      <c r="B18" s="35"/>
      <c r="C18" s="35"/>
      <c r="D18" s="74"/>
      <c r="E18" s="71"/>
      <c r="G18" s="33"/>
      <c r="H18" s="33"/>
      <c r="I18" s="33"/>
      <c r="J18" s="33"/>
      <c r="K18" s="66"/>
    </row>
    <row r="19" spans="1:11" x14ac:dyDescent="0.25">
      <c r="A19" s="35"/>
      <c r="B19" s="35"/>
      <c r="C19" s="35"/>
      <c r="D19" s="74"/>
      <c r="E19" s="71"/>
      <c r="G19" s="33"/>
      <c r="H19" s="33"/>
      <c r="I19" s="33"/>
      <c r="J19" s="33"/>
      <c r="K19" s="64"/>
    </row>
    <row r="20" spans="1:11" x14ac:dyDescent="0.25">
      <c r="A20" s="35"/>
      <c r="B20" s="35"/>
      <c r="C20" s="35"/>
      <c r="D20" s="74"/>
      <c r="E20" s="71"/>
      <c r="G20" s="33"/>
      <c r="H20" s="33"/>
      <c r="I20" s="33"/>
      <c r="J20" s="33"/>
      <c r="K20" s="17"/>
    </row>
    <row r="21" spans="1:11" x14ac:dyDescent="0.25">
      <c r="A21" s="35"/>
      <c r="B21" s="35"/>
      <c r="C21" s="35"/>
      <c r="D21" s="74"/>
      <c r="E21" s="71"/>
      <c r="G21" s="33"/>
      <c r="H21" s="33"/>
      <c r="I21" s="33"/>
      <c r="J21" s="33"/>
      <c r="K21" s="24"/>
    </row>
    <row r="22" spans="1:11" x14ac:dyDescent="0.25">
      <c r="A22" s="35"/>
      <c r="B22" s="35"/>
      <c r="C22" s="35"/>
      <c r="D22" s="74"/>
      <c r="E22" s="71"/>
      <c r="G22" s="33"/>
      <c r="H22" s="33"/>
      <c r="I22" s="33"/>
      <c r="J22" s="33"/>
    </row>
    <row r="23" spans="1:11" x14ac:dyDescent="0.25">
      <c r="A23" s="35"/>
      <c r="B23" s="35"/>
      <c r="C23" s="35"/>
      <c r="D23" s="74"/>
      <c r="E23" s="71"/>
      <c r="G23" s="33"/>
      <c r="H23" s="33"/>
      <c r="I23" s="33"/>
      <c r="J23" s="33"/>
      <c r="K23" s="3"/>
    </row>
    <row r="24" spans="1:11" x14ac:dyDescent="0.25">
      <c r="A24" s="35"/>
      <c r="B24" s="35"/>
      <c r="C24" s="35"/>
      <c r="D24" s="74"/>
      <c r="E24" s="71"/>
      <c r="G24" s="33"/>
      <c r="H24" s="33"/>
      <c r="I24" s="33"/>
      <c r="J24" s="33"/>
      <c r="K24" s="17"/>
    </row>
    <row r="25" spans="1:11" x14ac:dyDescent="0.25">
      <c r="A25" s="35"/>
      <c r="B25" s="35"/>
      <c r="C25" s="35"/>
      <c r="D25" s="74"/>
      <c r="E25" s="71"/>
      <c r="G25" s="33"/>
      <c r="H25" s="33"/>
      <c r="I25" s="33"/>
      <c r="J25" s="33"/>
      <c r="K25" s="3"/>
    </row>
    <row r="26" spans="1:11" x14ac:dyDescent="0.25">
      <c r="A26" s="35"/>
      <c r="B26" s="35"/>
      <c r="C26" s="35"/>
      <c r="D26" s="74"/>
      <c r="E26" s="71"/>
      <c r="G26" s="33"/>
      <c r="H26" s="33"/>
      <c r="I26" s="33"/>
      <c r="J26" s="33"/>
      <c r="K26" s="3"/>
    </row>
    <row r="27" spans="1:11" x14ac:dyDescent="0.25">
      <c r="A27" s="35"/>
      <c r="B27" s="35"/>
      <c r="C27" s="35"/>
      <c r="D27" s="74"/>
      <c r="E27" s="60"/>
      <c r="G27" s="33"/>
      <c r="H27" s="33"/>
      <c r="I27" s="33"/>
      <c r="J27" s="33"/>
      <c r="K27" s="23"/>
    </row>
    <row r="28" spans="1:11" x14ac:dyDescent="0.25">
      <c r="A28" s="35"/>
      <c r="B28" s="35"/>
      <c r="C28" s="35"/>
      <c r="D28" s="74"/>
      <c r="E28" s="60"/>
      <c r="G28" s="33"/>
      <c r="H28" s="33"/>
      <c r="I28" s="33"/>
      <c r="J28" s="33"/>
      <c r="K28" s="3"/>
    </row>
    <row r="29" spans="1:11" x14ac:dyDescent="0.25">
      <c r="A29" s="35"/>
      <c r="B29" s="35"/>
      <c r="C29" s="35"/>
      <c r="D29" s="60"/>
      <c r="E29" s="60"/>
      <c r="G29" s="33"/>
      <c r="H29" s="33"/>
      <c r="I29" s="33"/>
      <c r="J29" s="33"/>
      <c r="K29" s="23"/>
    </row>
    <row r="30" spans="1:11" x14ac:dyDescent="0.25">
      <c r="A30" s="16"/>
      <c r="B30" s="3"/>
      <c r="C30" s="3"/>
      <c r="D30" s="3"/>
      <c r="E30" s="17"/>
      <c r="G30" s="33"/>
      <c r="H30" s="33"/>
      <c r="I30" s="33"/>
      <c r="J30" s="33"/>
      <c r="K30" s="66"/>
    </row>
    <row r="31" spans="1:11" x14ac:dyDescent="0.25">
      <c r="A31" s="16"/>
      <c r="B31" s="3"/>
      <c r="C31" s="3"/>
      <c r="D31" s="3"/>
      <c r="E31" s="17"/>
      <c r="G31" s="33"/>
      <c r="H31" s="33"/>
      <c r="I31" s="33"/>
      <c r="J31" s="33"/>
      <c r="K31" s="64"/>
    </row>
    <row r="32" spans="1:11" ht="15.75" thickBot="1" x14ac:dyDescent="0.3">
      <c r="A32" s="16"/>
      <c r="B32" s="3"/>
      <c r="C32" s="3"/>
      <c r="D32" s="3"/>
      <c r="E32" s="17"/>
      <c r="G32" s="33"/>
      <c r="H32" s="33"/>
      <c r="I32" s="33"/>
      <c r="J32" s="33"/>
      <c r="K32" s="17"/>
    </row>
    <row r="33" spans="1:11" ht="16.5" thickBot="1" x14ac:dyDescent="0.3">
      <c r="A33" s="72" t="s">
        <v>60</v>
      </c>
      <c r="B33" s="58"/>
      <c r="C33" s="58"/>
      <c r="D33" s="58"/>
      <c r="E33" s="73"/>
      <c r="G33" s="33"/>
      <c r="H33" s="33"/>
      <c r="I33" s="33"/>
      <c r="J33" s="33"/>
      <c r="K33" s="24"/>
    </row>
    <row r="34" spans="1:11" x14ac:dyDescent="0.25">
      <c r="A34" s="33" t="s">
        <v>66</v>
      </c>
      <c r="B34" s="33" t="s">
        <v>76</v>
      </c>
      <c r="C34" s="3" t="s">
        <v>67</v>
      </c>
      <c r="D34" s="33">
        <v>2.86</v>
      </c>
      <c r="E34" s="3">
        <v>14.32</v>
      </c>
      <c r="G34" s="33"/>
      <c r="H34" s="33"/>
      <c r="I34" s="3"/>
      <c r="J34" s="3"/>
    </row>
    <row r="35" spans="1:11" x14ac:dyDescent="0.25">
      <c r="A35" s="33" t="s">
        <v>68</v>
      </c>
      <c r="B35" s="33" t="s">
        <v>77</v>
      </c>
      <c r="C35" s="3" t="s">
        <v>69</v>
      </c>
      <c r="D35" s="33">
        <v>2.19</v>
      </c>
      <c r="E35" s="3">
        <v>6.26</v>
      </c>
      <c r="G35" s="33"/>
      <c r="H35" s="33"/>
      <c r="I35" s="3"/>
      <c r="J35" s="3"/>
      <c r="K35" s="3"/>
    </row>
    <row r="36" spans="1:11" x14ac:dyDescent="0.25">
      <c r="A36" s="33" t="s">
        <v>68</v>
      </c>
      <c r="B36" s="33" t="s">
        <v>78</v>
      </c>
      <c r="C36" s="3" t="s">
        <v>69</v>
      </c>
      <c r="D36" s="33">
        <v>2.0699999999999998</v>
      </c>
      <c r="E36" s="3">
        <v>5.91</v>
      </c>
      <c r="G36" s="33"/>
      <c r="H36" s="33"/>
      <c r="I36" s="3"/>
      <c r="J36" s="3"/>
      <c r="K36" s="17"/>
    </row>
    <row r="37" spans="1:11" x14ac:dyDescent="0.25">
      <c r="A37" s="33" t="s">
        <v>68</v>
      </c>
      <c r="B37" s="33" t="s">
        <v>79</v>
      </c>
      <c r="C37" s="3" t="s">
        <v>69</v>
      </c>
      <c r="D37" s="33">
        <v>2.23</v>
      </c>
      <c r="E37" s="3">
        <v>6.36</v>
      </c>
      <c r="G37" s="33"/>
      <c r="H37" s="33"/>
      <c r="I37" s="3"/>
      <c r="J37" s="3"/>
      <c r="K37" s="3"/>
    </row>
    <row r="38" spans="1:11" x14ac:dyDescent="0.25">
      <c r="A38" s="33" t="s">
        <v>68</v>
      </c>
      <c r="B38" s="33" t="s">
        <v>80</v>
      </c>
      <c r="C38" s="3" t="s">
        <v>69</v>
      </c>
      <c r="D38" s="33">
        <v>2.0299999999999998</v>
      </c>
      <c r="E38" s="3">
        <v>5.81</v>
      </c>
      <c r="G38" s="33"/>
      <c r="H38" s="33"/>
      <c r="I38" s="33"/>
      <c r="J38" s="33"/>
      <c r="K38" s="3"/>
    </row>
    <row r="39" spans="1:11" x14ac:dyDescent="0.25">
      <c r="A39" s="33" t="s">
        <v>68</v>
      </c>
      <c r="B39" s="33" t="s">
        <v>81</v>
      </c>
      <c r="C39" s="3" t="s">
        <v>69</v>
      </c>
      <c r="D39" s="33">
        <v>2.19</v>
      </c>
      <c r="E39" s="3">
        <v>6.26</v>
      </c>
      <c r="G39" s="33"/>
      <c r="H39" s="3"/>
      <c r="I39" s="3"/>
      <c r="J39" s="3"/>
      <c r="K39" s="3"/>
    </row>
    <row r="40" spans="1:11" x14ac:dyDescent="0.25">
      <c r="A40" s="33" t="s">
        <v>68</v>
      </c>
      <c r="B40" s="33" t="s">
        <v>82</v>
      </c>
      <c r="C40" s="3" t="s">
        <v>69</v>
      </c>
      <c r="D40" s="33">
        <v>2.19</v>
      </c>
      <c r="E40" s="3">
        <v>6.26</v>
      </c>
      <c r="G40" s="77" t="s">
        <v>11</v>
      </c>
      <c r="H40" s="23"/>
      <c r="I40" s="23">
        <f>+COUNTA(I5:I38)</f>
        <v>0</v>
      </c>
      <c r="J40" s="76">
        <f>+SUM(J5:J38)</f>
        <v>0</v>
      </c>
      <c r="K40" s="23">
        <f>SUBTOTAL(109,Queensland_cubes[Area (m2)])</f>
        <v>0</v>
      </c>
    </row>
    <row r="41" spans="1:11" x14ac:dyDescent="0.25">
      <c r="A41" s="33" t="s">
        <v>68</v>
      </c>
      <c r="B41" s="33" t="s">
        <v>83</v>
      </c>
      <c r="C41" s="3" t="s">
        <v>69</v>
      </c>
      <c r="D41" s="33">
        <v>2.0299999999999998</v>
      </c>
      <c r="E41" s="3">
        <v>5.81</v>
      </c>
    </row>
    <row r="42" spans="1:11" x14ac:dyDescent="0.25">
      <c r="A42" s="33" t="s">
        <v>75</v>
      </c>
      <c r="B42" s="33" t="s">
        <v>84</v>
      </c>
      <c r="C42" s="3" t="s">
        <v>67</v>
      </c>
      <c r="D42" s="33">
        <v>0.76</v>
      </c>
      <c r="E42" s="3">
        <v>5.04</v>
      </c>
    </row>
    <row r="43" spans="1:11" x14ac:dyDescent="0.25">
      <c r="A43" s="33" t="s">
        <v>75</v>
      </c>
      <c r="B43" s="33" t="s">
        <v>85</v>
      </c>
      <c r="C43" s="3" t="s">
        <v>67</v>
      </c>
      <c r="D43" s="33">
        <v>1.47</v>
      </c>
      <c r="E43" s="3">
        <v>9.7799999999999994</v>
      </c>
    </row>
    <row r="44" spans="1:11" x14ac:dyDescent="0.25">
      <c r="A44" s="33" t="s">
        <v>75</v>
      </c>
      <c r="B44" s="33" t="s">
        <v>86</v>
      </c>
      <c r="C44" s="3" t="s">
        <v>67</v>
      </c>
      <c r="D44" s="33">
        <v>1.76</v>
      </c>
      <c r="E44" s="3">
        <v>11.75</v>
      </c>
    </row>
    <row r="45" spans="1:11" x14ac:dyDescent="0.25">
      <c r="A45" s="33" t="s">
        <v>75</v>
      </c>
      <c r="B45" s="33" t="s">
        <v>87</v>
      </c>
      <c r="C45" s="3" t="s">
        <v>67</v>
      </c>
      <c r="D45" s="33">
        <v>2.83</v>
      </c>
      <c r="E45" s="3">
        <v>18.87</v>
      </c>
    </row>
    <row r="46" spans="1:11" x14ac:dyDescent="0.25">
      <c r="A46" s="33" t="s">
        <v>70</v>
      </c>
      <c r="B46" s="33" t="s">
        <v>88</v>
      </c>
      <c r="C46" s="3" t="s">
        <v>67</v>
      </c>
      <c r="D46" s="33">
        <v>4.4800000000000004</v>
      </c>
      <c r="E46" s="3">
        <v>22.49</v>
      </c>
    </row>
    <row r="47" spans="1:11" x14ac:dyDescent="0.25">
      <c r="A47" s="33" t="s">
        <v>70</v>
      </c>
      <c r="B47" s="33" t="s">
        <v>89</v>
      </c>
      <c r="C47" s="3" t="s">
        <v>67</v>
      </c>
      <c r="D47" s="33">
        <v>3.53</v>
      </c>
      <c r="E47" s="3">
        <v>14.64</v>
      </c>
    </row>
    <row r="48" spans="1:11" x14ac:dyDescent="0.25">
      <c r="A48" s="33" t="s">
        <v>70</v>
      </c>
      <c r="B48" s="33" t="s">
        <v>90</v>
      </c>
      <c r="C48" s="3" t="s">
        <v>67</v>
      </c>
      <c r="D48" s="33">
        <v>2.38</v>
      </c>
      <c r="E48" s="3">
        <v>10.02</v>
      </c>
    </row>
    <row r="49" spans="1:5" x14ac:dyDescent="0.25">
      <c r="A49" s="33" t="s">
        <v>70</v>
      </c>
      <c r="B49" s="33" t="s">
        <v>91</v>
      </c>
      <c r="C49" s="3" t="s">
        <v>67</v>
      </c>
      <c r="D49" s="33">
        <v>3.48</v>
      </c>
      <c r="E49" s="3">
        <v>13.92</v>
      </c>
    </row>
    <row r="50" spans="1:5" x14ac:dyDescent="0.25">
      <c r="A50" s="33" t="s">
        <v>70</v>
      </c>
      <c r="B50" s="33" t="s">
        <v>92</v>
      </c>
      <c r="C50" s="3" t="s">
        <v>67</v>
      </c>
      <c r="D50" s="33">
        <v>1.56</v>
      </c>
      <c r="E50" s="3">
        <v>6.47</v>
      </c>
    </row>
    <row r="51" spans="1:5" x14ac:dyDescent="0.25">
      <c r="A51" s="33" t="s">
        <v>71</v>
      </c>
      <c r="B51" s="33" t="s">
        <v>93</v>
      </c>
      <c r="C51" s="3" t="s">
        <v>67</v>
      </c>
      <c r="D51" s="33">
        <v>4.05</v>
      </c>
      <c r="E51" s="3">
        <v>9.59</v>
      </c>
    </row>
    <row r="52" spans="1:5" x14ac:dyDescent="0.25">
      <c r="A52" s="33" t="s">
        <v>72</v>
      </c>
      <c r="B52" s="33" t="s">
        <v>94</v>
      </c>
      <c r="C52" s="3" t="s">
        <v>67</v>
      </c>
      <c r="D52" s="33">
        <v>2.19</v>
      </c>
      <c r="E52" s="3">
        <v>8.2799999999999994</v>
      </c>
    </row>
    <row r="53" spans="1:5" x14ac:dyDescent="0.25">
      <c r="A53" s="33" t="s">
        <v>72</v>
      </c>
      <c r="B53" s="33" t="s">
        <v>95</v>
      </c>
      <c r="C53" s="3" t="s">
        <v>67</v>
      </c>
      <c r="D53" s="33">
        <v>2.4500000000000002</v>
      </c>
      <c r="E53" s="3">
        <v>9.3000000000000007</v>
      </c>
    </row>
    <row r="54" spans="1:5" x14ac:dyDescent="0.25">
      <c r="A54" s="33" t="s">
        <v>72</v>
      </c>
      <c r="B54" s="33" t="s">
        <v>96</v>
      </c>
      <c r="C54" s="3" t="s">
        <v>67</v>
      </c>
      <c r="D54" s="33">
        <v>2.27</v>
      </c>
      <c r="E54" s="3">
        <v>7.55</v>
      </c>
    </row>
    <row r="55" spans="1:5" x14ac:dyDescent="0.25">
      <c r="A55" s="33" t="s">
        <v>72</v>
      </c>
      <c r="B55" s="33" t="s">
        <v>97</v>
      </c>
      <c r="C55" s="3" t="s">
        <v>67</v>
      </c>
      <c r="D55" s="33">
        <v>2.41</v>
      </c>
      <c r="E55" s="3">
        <v>9.18</v>
      </c>
    </row>
    <row r="56" spans="1:5" x14ac:dyDescent="0.25">
      <c r="A56" s="33" t="s">
        <v>72</v>
      </c>
      <c r="B56" s="33" t="s">
        <v>98</v>
      </c>
      <c r="C56" s="3" t="s">
        <v>67</v>
      </c>
      <c r="D56" s="33">
        <v>2.4</v>
      </c>
      <c r="E56" s="3">
        <v>9.15</v>
      </c>
    </row>
    <row r="57" spans="1:5" x14ac:dyDescent="0.25">
      <c r="A57" s="33" t="s">
        <v>73</v>
      </c>
      <c r="B57" s="33" t="s">
        <v>99</v>
      </c>
      <c r="C57" s="3" t="s">
        <v>67</v>
      </c>
      <c r="D57" s="33">
        <v>2.2000000000000002</v>
      </c>
      <c r="E57" s="3">
        <v>8.9499999999999993</v>
      </c>
    </row>
    <row r="58" spans="1:5" x14ac:dyDescent="0.25">
      <c r="A58" s="33" t="s">
        <v>73</v>
      </c>
      <c r="B58" s="33" t="s">
        <v>100</v>
      </c>
      <c r="C58" s="3" t="s">
        <v>69</v>
      </c>
      <c r="D58" s="33">
        <v>5.13</v>
      </c>
      <c r="E58" s="3">
        <v>9.67</v>
      </c>
    </row>
    <row r="59" spans="1:5" x14ac:dyDescent="0.25">
      <c r="A59" s="33"/>
      <c r="B59" s="33"/>
      <c r="C59" s="3"/>
      <c r="D59" s="33"/>
      <c r="E59" s="3"/>
    </row>
    <row r="60" spans="1:5" x14ac:dyDescent="0.25">
      <c r="A60" s="33"/>
      <c r="B60" s="33"/>
      <c r="C60" s="3"/>
      <c r="D60" s="33"/>
      <c r="E60" s="3"/>
    </row>
    <row r="61" spans="1:5" x14ac:dyDescent="0.25">
      <c r="A61" s="33"/>
      <c r="B61" s="33"/>
      <c r="C61" s="3"/>
      <c r="D61" s="33"/>
      <c r="E61" s="3"/>
    </row>
    <row r="62" spans="1:5" x14ac:dyDescent="0.25">
      <c r="A62" s="33"/>
      <c r="B62" s="33"/>
      <c r="C62" s="3"/>
      <c r="D62" s="33"/>
      <c r="E62" s="3"/>
    </row>
    <row r="63" spans="1:5" x14ac:dyDescent="0.25">
      <c r="A63" s="33"/>
      <c r="B63" s="33"/>
      <c r="C63" s="3"/>
      <c r="D63" s="33"/>
      <c r="E63" s="3"/>
    </row>
    <row r="64" spans="1:5" x14ac:dyDescent="0.25">
      <c r="A64" s="33"/>
      <c r="B64" s="33"/>
      <c r="C64" s="3"/>
      <c r="D64" s="33"/>
      <c r="E64" s="3"/>
    </row>
    <row r="65" spans="1:5" x14ac:dyDescent="0.25">
      <c r="A65" s="33"/>
      <c r="B65" s="33"/>
      <c r="C65" s="3"/>
      <c r="D65" s="33"/>
      <c r="E65" s="3"/>
    </row>
    <row r="66" spans="1:5" x14ac:dyDescent="0.25">
      <c r="A66" s="33"/>
      <c r="B66" s="33"/>
      <c r="C66" s="3"/>
      <c r="D66" s="33"/>
      <c r="E66" s="3"/>
    </row>
    <row r="67" spans="1:5" x14ac:dyDescent="0.25">
      <c r="A67" s="33"/>
      <c r="B67" s="33"/>
      <c r="C67" s="3"/>
      <c r="D67" s="33"/>
      <c r="E67" s="3"/>
    </row>
    <row r="68" spans="1:5" x14ac:dyDescent="0.25">
      <c r="A68" s="33"/>
      <c r="B68" s="33"/>
      <c r="C68" s="3"/>
      <c r="D68" s="33"/>
      <c r="E68" s="3"/>
    </row>
    <row r="69" spans="1:5" x14ac:dyDescent="0.25">
      <c r="A69" s="33"/>
      <c r="B69" s="33"/>
      <c r="C69" s="3"/>
      <c r="D69" s="33"/>
      <c r="E69" s="3"/>
    </row>
    <row r="70" spans="1:5" x14ac:dyDescent="0.25">
      <c r="A70" s="33"/>
      <c r="B70" s="33"/>
      <c r="C70" s="3"/>
      <c r="D70" s="33"/>
      <c r="E70" s="3"/>
    </row>
    <row r="71" spans="1:5" x14ac:dyDescent="0.25">
      <c r="A71" s="33"/>
      <c r="B71" s="33"/>
      <c r="C71" s="3"/>
      <c r="D71" s="33"/>
      <c r="E71" s="3"/>
    </row>
    <row r="72" spans="1:5" x14ac:dyDescent="0.25">
      <c r="A72" s="33"/>
      <c r="B72" s="33"/>
      <c r="C72" s="3"/>
      <c r="D72" s="33"/>
      <c r="E72" s="3"/>
    </row>
    <row r="73" spans="1:5" x14ac:dyDescent="0.25">
      <c r="A73" s="33"/>
      <c r="B73" s="33"/>
      <c r="C73" s="3"/>
      <c r="D73" s="33"/>
      <c r="E73" s="3"/>
    </row>
    <row r="74" spans="1:5" x14ac:dyDescent="0.25">
      <c r="A74" s="33"/>
      <c r="B74" s="33"/>
      <c r="C74" s="3"/>
      <c r="D74" s="33"/>
      <c r="E74" s="3"/>
    </row>
    <row r="75" spans="1:5" x14ac:dyDescent="0.25">
      <c r="A75" s="92"/>
      <c r="B75" s="33"/>
      <c r="C75" s="3"/>
      <c r="D75" s="33"/>
      <c r="E75" s="3"/>
    </row>
    <row r="76" spans="1:5" x14ac:dyDescent="0.25">
      <c r="A76" s="92"/>
      <c r="B76" s="33"/>
      <c r="C76" s="3"/>
      <c r="D76" s="33"/>
      <c r="E76" s="3"/>
    </row>
    <row r="77" spans="1:5" x14ac:dyDescent="0.25">
      <c r="A77" s="33"/>
      <c r="B77" s="33"/>
      <c r="C77" s="3"/>
      <c r="D77" s="33"/>
      <c r="E77" s="3"/>
    </row>
    <row r="78" spans="1:5" x14ac:dyDescent="0.25">
      <c r="A78" s="33"/>
      <c r="B78" s="33"/>
      <c r="C78" s="3"/>
      <c r="D78" s="33"/>
      <c r="E78" s="3"/>
    </row>
    <row r="79" spans="1:5" x14ac:dyDescent="0.25">
      <c r="A79" s="33"/>
      <c r="B79" s="33"/>
      <c r="C79" s="3"/>
      <c r="D79" s="33"/>
      <c r="E79" s="3"/>
    </row>
    <row r="80" spans="1:5" x14ac:dyDescent="0.25">
      <c r="A80" s="33"/>
      <c r="B80" s="33"/>
      <c r="C80" s="3"/>
      <c r="D80" s="33"/>
      <c r="E80" s="3"/>
    </row>
    <row r="81" spans="1:5" x14ac:dyDescent="0.25">
      <c r="A81" s="33"/>
      <c r="B81" s="33"/>
      <c r="C81" s="3"/>
      <c r="D81" s="33"/>
      <c r="E81" s="3"/>
    </row>
    <row r="82" spans="1:5" x14ac:dyDescent="0.25">
      <c r="A82" s="33"/>
      <c r="B82" s="33"/>
      <c r="C82" s="3"/>
      <c r="D82" s="33"/>
      <c r="E82" s="3"/>
    </row>
    <row r="83" spans="1:5" x14ac:dyDescent="0.25">
      <c r="A83" s="3"/>
      <c r="B83" s="47"/>
      <c r="C83" s="3"/>
      <c r="D83" s="3"/>
      <c r="E83" s="3"/>
    </row>
    <row r="84" spans="1:5" x14ac:dyDescent="0.25">
      <c r="A84" s="3"/>
      <c r="B84" s="47"/>
      <c r="C84" s="3"/>
      <c r="D84" s="3"/>
      <c r="E84" s="3"/>
    </row>
    <row r="85" spans="1:5" x14ac:dyDescent="0.25">
      <c r="A85" s="3"/>
      <c r="B85" s="47"/>
      <c r="C85" s="3"/>
      <c r="D85" s="3"/>
      <c r="E85" s="3"/>
    </row>
    <row r="86" spans="1:5" x14ac:dyDescent="0.25">
      <c r="A86" s="3"/>
      <c r="B86" s="47"/>
      <c r="C86" s="3"/>
      <c r="D86" s="3"/>
      <c r="E86" s="3"/>
    </row>
    <row r="87" spans="1:5" x14ac:dyDescent="0.25">
      <c r="A87" s="41"/>
      <c r="B87" s="33"/>
      <c r="C87" s="3"/>
      <c r="D87" s="33"/>
      <c r="E87" s="49"/>
    </row>
    <row r="88" spans="1:5" x14ac:dyDescent="0.25">
      <c r="A88" s="41"/>
      <c r="B88" s="33"/>
      <c r="C88" s="3"/>
      <c r="D88" s="33"/>
      <c r="E88" s="49"/>
    </row>
    <row r="89" spans="1:5" x14ac:dyDescent="0.25">
      <c r="A89" s="41"/>
      <c r="B89" s="33"/>
      <c r="C89" s="3"/>
      <c r="D89" s="33"/>
      <c r="E89" s="49"/>
    </row>
    <row r="90" spans="1:5" x14ac:dyDescent="0.25">
      <c r="A90" s="50"/>
      <c r="B90" s="33"/>
      <c r="C90" s="3"/>
      <c r="D90" s="33"/>
      <c r="E90" s="37"/>
    </row>
    <row r="91" spans="1:5" x14ac:dyDescent="0.25">
      <c r="A91" s="42"/>
      <c r="B91" s="33"/>
      <c r="C91" s="3"/>
      <c r="D91" s="33"/>
      <c r="E91" s="49"/>
    </row>
    <row r="92" spans="1:5" ht="15.75" thickBot="1" x14ac:dyDescent="0.3">
      <c r="A92" s="48"/>
      <c r="B92" s="51"/>
      <c r="C92" s="38"/>
      <c r="D92" s="38"/>
      <c r="E92" s="39"/>
    </row>
    <row r="93" spans="1:5" ht="15.75" thickBot="1" x14ac:dyDescent="0.3">
      <c r="A93" s="54"/>
      <c r="B93" s="55"/>
      <c r="C93" s="53"/>
      <c r="D93" s="53"/>
      <c r="E93" s="56"/>
    </row>
    <row r="94" spans="1:5" ht="15.75" thickBot="1" x14ac:dyDescent="0.3">
      <c r="A94" s="57" t="s">
        <v>11</v>
      </c>
      <c r="B94" s="58">
        <f>+COUNTA(B5:B93)</f>
        <v>25</v>
      </c>
      <c r="C94" s="58"/>
      <c r="D94" s="58">
        <f>+SUM(D5:D93)</f>
        <v>63.14</v>
      </c>
      <c r="E94" s="59">
        <f>+SUM(E5:E93)</f>
        <v>241.64000000000001</v>
      </c>
    </row>
  </sheetData>
  <mergeCells count="2">
    <mergeCell ref="A2:E2"/>
    <mergeCell ref="G2:K2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F4FE-CD0B-4C5A-A70F-4C9B2A1D555E}">
  <dimension ref="A2:D40"/>
  <sheetViews>
    <sheetView topLeftCell="A10" workbookViewId="0">
      <selection activeCell="D17" sqref="D17"/>
    </sheetView>
  </sheetViews>
  <sheetFormatPr defaultRowHeight="15" x14ac:dyDescent="0.25"/>
  <cols>
    <col min="1" max="1" width="39.42578125" customWidth="1"/>
    <col min="4" max="6" width="36.42578125" customWidth="1"/>
  </cols>
  <sheetData>
    <row r="2" spans="1:4" x14ac:dyDescent="0.25">
      <c r="A2" s="9" t="s">
        <v>14</v>
      </c>
      <c r="C2" s="9" t="s">
        <v>15</v>
      </c>
    </row>
    <row r="3" spans="1:4" x14ac:dyDescent="0.25">
      <c r="A3" t="s">
        <v>16</v>
      </c>
      <c r="C3" t="s">
        <v>17</v>
      </c>
    </row>
    <row r="4" spans="1:4" x14ac:dyDescent="0.25">
      <c r="A4" t="s">
        <v>18</v>
      </c>
      <c r="C4" t="s">
        <v>19</v>
      </c>
    </row>
    <row r="5" spans="1:4" x14ac:dyDescent="0.25">
      <c r="A5" t="s">
        <v>20</v>
      </c>
    </row>
    <row r="6" spans="1:4" x14ac:dyDescent="0.25">
      <c r="A6" t="s">
        <v>21</v>
      </c>
    </row>
    <row r="7" spans="1:4" x14ac:dyDescent="0.25">
      <c r="A7" t="s">
        <v>22</v>
      </c>
    </row>
    <row r="8" spans="1:4" x14ac:dyDescent="0.25">
      <c r="A8" t="s">
        <v>23</v>
      </c>
    </row>
    <row r="12" spans="1:4" x14ac:dyDescent="0.25">
      <c r="A12" s="9" t="s">
        <v>24</v>
      </c>
      <c r="D12" s="9" t="s">
        <v>25</v>
      </c>
    </row>
    <row r="13" spans="1:4" x14ac:dyDescent="0.25">
      <c r="A13" t="s">
        <v>26</v>
      </c>
      <c r="D13" t="s">
        <v>27</v>
      </c>
    </row>
    <row r="14" spans="1:4" x14ac:dyDescent="0.25">
      <c r="A14" t="s">
        <v>28</v>
      </c>
      <c r="D14" t="s">
        <v>29</v>
      </c>
    </row>
    <row r="15" spans="1:4" x14ac:dyDescent="0.25">
      <c r="A15" t="s">
        <v>30</v>
      </c>
      <c r="D15" t="s">
        <v>31</v>
      </c>
    </row>
    <row r="16" spans="1:4" x14ac:dyDescent="0.25">
      <c r="A16" t="s">
        <v>32</v>
      </c>
      <c r="D16" t="s">
        <v>33</v>
      </c>
    </row>
    <row r="17" spans="1:4" x14ac:dyDescent="0.25">
      <c r="A17" t="s">
        <v>34</v>
      </c>
      <c r="D17" t="s">
        <v>35</v>
      </c>
    </row>
    <row r="18" spans="1:4" x14ac:dyDescent="0.25">
      <c r="A18" t="s">
        <v>36</v>
      </c>
      <c r="D18" t="s">
        <v>37</v>
      </c>
    </row>
    <row r="19" spans="1:4" x14ac:dyDescent="0.25">
      <c r="A19" t="s">
        <v>38</v>
      </c>
    </row>
    <row r="20" spans="1:4" x14ac:dyDescent="0.25">
      <c r="A20" t="s">
        <v>39</v>
      </c>
    </row>
    <row r="21" spans="1:4" x14ac:dyDescent="0.25">
      <c r="A21" t="s">
        <v>40</v>
      </c>
    </row>
    <row r="22" spans="1:4" x14ac:dyDescent="0.25">
      <c r="A22" t="s">
        <v>41</v>
      </c>
    </row>
    <row r="23" spans="1:4" x14ac:dyDescent="0.25">
      <c r="A23" t="s">
        <v>42</v>
      </c>
    </row>
    <row r="24" spans="1:4" x14ac:dyDescent="0.25">
      <c r="A24" t="s">
        <v>43</v>
      </c>
    </row>
    <row r="25" spans="1:4" x14ac:dyDescent="0.25">
      <c r="A25" t="s">
        <v>44</v>
      </c>
    </row>
    <row r="26" spans="1:4" x14ac:dyDescent="0.25">
      <c r="A26" t="s">
        <v>45</v>
      </c>
    </row>
    <row r="27" spans="1:4" x14ac:dyDescent="0.25">
      <c r="A27" t="s">
        <v>46</v>
      </c>
    </row>
    <row r="28" spans="1:4" x14ac:dyDescent="0.25">
      <c r="A28" t="s">
        <v>47</v>
      </c>
    </row>
    <row r="29" spans="1:4" x14ac:dyDescent="0.25">
      <c r="A29" t="s">
        <v>48</v>
      </c>
    </row>
    <row r="30" spans="1:4" x14ac:dyDescent="0.25">
      <c r="A30" t="s">
        <v>49</v>
      </c>
    </row>
    <row r="31" spans="1:4" x14ac:dyDescent="0.25">
      <c r="A31" t="s">
        <v>50</v>
      </c>
    </row>
    <row r="32" spans="1:4" x14ac:dyDescent="0.25">
      <c r="A32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  <row r="35" spans="1:1" x14ac:dyDescent="0.25">
      <c r="A35" t="s">
        <v>54</v>
      </c>
    </row>
    <row r="36" spans="1:1" x14ac:dyDescent="0.25">
      <c r="A36" t="s">
        <v>55</v>
      </c>
    </row>
    <row r="37" spans="1:1" x14ac:dyDescent="0.25">
      <c r="A37" t="s">
        <v>56</v>
      </c>
    </row>
    <row r="38" spans="1:1" x14ac:dyDescent="0.25">
      <c r="A38" t="s">
        <v>57</v>
      </c>
    </row>
    <row r="39" spans="1:1" x14ac:dyDescent="0.25">
      <c r="A39" t="s">
        <v>58</v>
      </c>
    </row>
    <row r="40" spans="1:1" x14ac:dyDescent="0.25">
      <c r="A40" t="s">
        <v>59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e40b8-ea01-47a9-92f4-f4e5c221970a" xsi:nil="true"/>
    <lcf76f155ced4ddcb4097134ff3c332f xmlns="58385c72-0de2-407d-8233-fcc960a1bd84">
      <Terms xmlns="http://schemas.microsoft.com/office/infopath/2007/PartnerControls"/>
    </lcf76f155ced4ddcb4097134ff3c332f>
    <created0 xmlns="58385c72-0de2-407d-8233-fcc960a1bd84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77D6D80ADFA6409E60C0A1FA3E38E9" ma:contentTypeVersion="20" ma:contentTypeDescription="Create a new document." ma:contentTypeScope="" ma:versionID="5726a77dc353aa8a57572800fad75aed">
  <xsd:schema xmlns:xsd="http://www.w3.org/2001/XMLSchema" xmlns:xs="http://www.w3.org/2001/XMLSchema" xmlns:p="http://schemas.microsoft.com/office/2006/metadata/properties" xmlns:ns2="58385c72-0de2-407d-8233-fcc960a1bd84" xmlns:ns3="361e40b8-ea01-47a9-92f4-f4e5c221970a" targetNamespace="http://schemas.microsoft.com/office/2006/metadata/properties" ma:root="true" ma:fieldsID="7a03fbd874b98154171b260630af643b" ns2:_="" ns3:_="">
    <xsd:import namespace="58385c72-0de2-407d-8233-fcc960a1bd84"/>
    <xsd:import namespace="361e40b8-ea01-47a9-92f4-f4e5c221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reated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85c72-0de2-407d-8233-fcc960a1b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8e6ac38-ada6-4679-8b89-2dfc87b19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0" ma:index="26" nillable="true" ma:displayName="created" ma:format="DateOnly" ma:internalName="created0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e40b8-ea01-47a9-92f4-f4e5c221970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1a0d9b-01f0-47bc-ba48-1f15f1b88468}" ma:internalName="TaxCatchAll" ma:showField="CatchAllData" ma:web="361e40b8-ea01-47a9-92f4-f4e5c221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3B4E2F-49CB-4074-9185-083F78C3BCB2}">
  <ds:schemaRefs>
    <ds:schemaRef ds:uri="http://schemas.microsoft.com/office/2006/metadata/properties"/>
    <ds:schemaRef ds:uri="http://schemas.microsoft.com/office/infopath/2007/PartnerControls"/>
    <ds:schemaRef ds:uri="361e40b8-ea01-47a9-92f4-f4e5c221970a"/>
    <ds:schemaRef ds:uri="58385c72-0de2-407d-8233-fcc960a1bd84"/>
  </ds:schemaRefs>
</ds:datastoreItem>
</file>

<file path=customXml/itemProps2.xml><?xml version="1.0" encoding="utf-8"?>
<ds:datastoreItem xmlns:ds="http://schemas.openxmlformats.org/officeDocument/2006/customXml" ds:itemID="{712AC0F3-19EA-4EA0-9C58-681F33A93D4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51B3BA0-6ADF-4E66-B32D-999F09840A1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2A38C8A-A38A-4E99-9624-378E8338AF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85c72-0de2-407d-8233-fcc960a1bd84"/>
    <ds:schemaRef ds:uri="361e40b8-ea01-47a9-92f4-f4e5c22197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Queensland</vt:lpstr>
      <vt:lpstr>Victoria</vt:lpstr>
      <vt:lpstr>Summary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Cetina</dc:creator>
  <cp:keywords/>
  <dc:description/>
  <cp:lastModifiedBy>Britani Mendoza</cp:lastModifiedBy>
  <cp:revision/>
  <dcterms:created xsi:type="dcterms:W3CDTF">2024-10-13T18:58:20Z</dcterms:created>
  <dcterms:modified xsi:type="dcterms:W3CDTF">2026-01-31T00:03:48Z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0x010100B877D6D80ADFA6409E60C0A1FA3E38E9</vt:lpwstr>
  </property>
  <property fmtid="{D5CDD505-2E9C-101B-9397-08002B2CF9AE}" pid="3" name="MediaServiceImageTags">
    <vt:lpwstr/>
  </property>
</Properties>
</file>