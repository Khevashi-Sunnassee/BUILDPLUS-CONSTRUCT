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econmanagement.sharepoint.com/sites/Trecon/Shared Documents/27. LTE National Operations &amp; Budgeting/LTE Structures (QLD)/Asset Register/"/>
    </mc:Choice>
  </mc:AlternateContent>
  <xr:revisionPtr revIDLastSave="18" documentId="8_{FB03BE60-0FFF-4D94-A937-9AD6090C57F8}" xr6:coauthVersionLast="47" xr6:coauthVersionMax="47" xr10:uidLastSave="{9E46315E-5838-47C9-BC6E-FA9E2399D908}"/>
  <bookViews>
    <workbookView xWindow="-14640" yWindow="-16320" windowWidth="29040" windowHeight="15720" activeTab="2" xr2:uid="{C49AF262-DC44-4C62-84A6-6C0C26B51D88}"/>
  </bookViews>
  <sheets>
    <sheet name="All Assets " sheetId="14" r:id="rId1"/>
    <sheet name="Pivot All Assets" sheetId="20" r:id="rId2"/>
    <sheet name="Pivot Assets FY 24-25" sheetId="21" r:id="rId3"/>
    <sheet name="Assets FY 24-25" sheetId="22" r:id="rId4"/>
    <sheet name="Pivot Assets FY 21-22" sheetId="12" r:id="rId5"/>
    <sheet name="Assets FY 21-22" sheetId="10" r:id="rId6"/>
    <sheet name="Validation Data" sheetId="4" r:id="rId7"/>
    <sheet name="Workings - Panel Racks and &quot;A&quot; " sheetId="8" r:id="rId8"/>
  </sheets>
  <definedNames>
    <definedName name="_xlnm._FilterDatabase" localSheetId="0" hidden="1">'All Assets '!$B$6:$P$448</definedName>
    <definedName name="_xlnm._FilterDatabase" localSheetId="5" hidden="1">'Assets FY 21-22'!$A$6:$O$122</definedName>
    <definedName name="_xlnm._FilterDatabase" localSheetId="3" hidden="1">'Assets FY 24-25'!$B$6:$P$193</definedName>
  </definedNames>
  <calcPr calcId="191028"/>
  <pivotCaches>
    <pivotCache cacheId="10" r:id="rId9"/>
    <pivotCache cacheId="22" r:id="rId10"/>
    <pivotCache cacheId="2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2" i="22" l="1"/>
  <c r="C192" i="22"/>
  <c r="M191" i="22"/>
  <c r="L191" i="22" s="1"/>
  <c r="N191" i="22" s="1"/>
  <c r="M190" i="22"/>
  <c r="L190" i="22" s="1"/>
  <c r="N190" i="22" s="1"/>
  <c r="M189" i="22"/>
  <c r="L189" i="22" s="1"/>
  <c r="N189" i="22" s="1"/>
  <c r="M188" i="22"/>
  <c r="L188" i="22" s="1"/>
  <c r="N188" i="22" s="1"/>
  <c r="M187" i="22"/>
  <c r="L187" i="22"/>
  <c r="N187" i="22" s="1"/>
  <c r="M186" i="22"/>
  <c r="L186" i="22" s="1"/>
  <c r="N186" i="22" s="1"/>
  <c r="M185" i="22"/>
  <c r="L185" i="22" s="1"/>
  <c r="N185" i="22" s="1"/>
  <c r="M184" i="22"/>
  <c r="L184" i="22" s="1"/>
  <c r="N184" i="22" s="1"/>
  <c r="M183" i="22"/>
  <c r="L183" i="22" s="1"/>
  <c r="N183" i="22" s="1"/>
  <c r="M182" i="22"/>
  <c r="L182" i="22" s="1"/>
  <c r="N182" i="22" s="1"/>
  <c r="M181" i="22"/>
  <c r="L181" i="22" s="1"/>
  <c r="N181" i="22" s="1"/>
  <c r="M180" i="22"/>
  <c r="L180" i="22" s="1"/>
  <c r="N180" i="22" s="1"/>
  <c r="M179" i="22"/>
  <c r="L179" i="22" s="1"/>
  <c r="N179" i="22" s="1"/>
  <c r="M178" i="22"/>
  <c r="L178" i="22"/>
  <c r="N178" i="22" s="1"/>
  <c r="M177" i="22"/>
  <c r="L177" i="22" s="1"/>
  <c r="N177" i="22" s="1"/>
  <c r="M176" i="22"/>
  <c r="L176" i="22" s="1"/>
  <c r="N176" i="22" s="1"/>
  <c r="M175" i="22"/>
  <c r="L175" i="22" s="1"/>
  <c r="N175" i="22" s="1"/>
  <c r="M174" i="22"/>
  <c r="L174" i="22" s="1"/>
  <c r="N174" i="22" s="1"/>
  <c r="M173" i="22"/>
  <c r="L173" i="22" s="1"/>
  <c r="N173" i="22" s="1"/>
  <c r="M172" i="22"/>
  <c r="L172" i="22" s="1"/>
  <c r="N172" i="22" s="1"/>
  <c r="M171" i="22"/>
  <c r="L171" i="22" s="1"/>
  <c r="N171" i="22" s="1"/>
  <c r="M170" i="22"/>
  <c r="L170" i="22"/>
  <c r="N170" i="22" s="1"/>
  <c r="M169" i="22"/>
  <c r="L169" i="22"/>
  <c r="N169" i="22" s="1"/>
  <c r="M168" i="22"/>
  <c r="L168" i="22" s="1"/>
  <c r="N168" i="22" s="1"/>
  <c r="M167" i="22"/>
  <c r="L167" i="22" s="1"/>
  <c r="N167" i="22" s="1"/>
  <c r="M166" i="22"/>
  <c r="L166" i="22" s="1"/>
  <c r="N166" i="22" s="1"/>
  <c r="M165" i="22"/>
  <c r="L165" i="22" s="1"/>
  <c r="N165" i="22" s="1"/>
  <c r="M164" i="22"/>
  <c r="L164" i="22"/>
  <c r="N164" i="22" s="1"/>
  <c r="M163" i="22"/>
  <c r="L163" i="22" s="1"/>
  <c r="N163" i="22" s="1"/>
  <c r="M162" i="22"/>
  <c r="L162" i="22" s="1"/>
  <c r="N162" i="22" s="1"/>
  <c r="M161" i="22"/>
  <c r="L161" i="22" s="1"/>
  <c r="N161" i="22" s="1"/>
  <c r="M160" i="22"/>
  <c r="L160" i="22" s="1"/>
  <c r="N160" i="22" s="1"/>
  <c r="M159" i="22"/>
  <c r="L159" i="22"/>
  <c r="N159" i="22" s="1"/>
  <c r="M158" i="22"/>
  <c r="L158" i="22" s="1"/>
  <c r="N158" i="22" s="1"/>
  <c r="M157" i="22"/>
  <c r="L157" i="22" s="1"/>
  <c r="N157" i="22" s="1"/>
  <c r="M156" i="22"/>
  <c r="L156" i="22" s="1"/>
  <c r="N156" i="22" s="1"/>
  <c r="M155" i="22"/>
  <c r="L155" i="22" s="1"/>
  <c r="N155" i="22" s="1"/>
  <c r="M154" i="22"/>
  <c r="L154" i="22" s="1"/>
  <c r="N154" i="22" s="1"/>
  <c r="M153" i="22"/>
  <c r="L153" i="22" s="1"/>
  <c r="N153" i="22" s="1"/>
  <c r="M152" i="22"/>
  <c r="L152" i="22" s="1"/>
  <c r="N152" i="22" s="1"/>
  <c r="M151" i="22"/>
  <c r="L151" i="22" s="1"/>
  <c r="N151" i="22" s="1"/>
  <c r="M150" i="22"/>
  <c r="L150" i="22" s="1"/>
  <c r="N150" i="22" s="1"/>
  <c r="M149" i="22"/>
  <c r="L149" i="22" s="1"/>
  <c r="N149" i="22" s="1"/>
  <c r="M148" i="22"/>
  <c r="L148" i="22"/>
  <c r="N148" i="22" s="1"/>
  <c r="M147" i="22"/>
  <c r="L147" i="22" s="1"/>
  <c r="N147" i="22" s="1"/>
  <c r="M146" i="22"/>
  <c r="L146" i="22" s="1"/>
  <c r="N146" i="22" s="1"/>
  <c r="M145" i="22"/>
  <c r="L145" i="22" s="1"/>
  <c r="N145" i="22" s="1"/>
  <c r="M144" i="22"/>
  <c r="L144" i="22" s="1"/>
  <c r="N144" i="22" s="1"/>
  <c r="M143" i="22"/>
  <c r="L143" i="22" s="1"/>
  <c r="N143" i="22" s="1"/>
  <c r="M142" i="22"/>
  <c r="L142" i="22" s="1"/>
  <c r="N142" i="22" s="1"/>
  <c r="M141" i="22"/>
  <c r="L141" i="22" s="1"/>
  <c r="N141" i="22" s="1"/>
  <c r="M140" i="22"/>
  <c r="L140" i="22" s="1"/>
  <c r="N140" i="22" s="1"/>
  <c r="M139" i="22"/>
  <c r="L139" i="22" s="1"/>
  <c r="N139" i="22" s="1"/>
  <c r="M138" i="22"/>
  <c r="L138" i="22"/>
  <c r="N138" i="22" s="1"/>
  <c r="M137" i="22"/>
  <c r="L137" i="22" s="1"/>
  <c r="N137" i="22" s="1"/>
  <c r="M136" i="22"/>
  <c r="L136" i="22"/>
  <c r="N136" i="22" s="1"/>
  <c r="M135" i="22"/>
  <c r="L135" i="22"/>
  <c r="N135" i="22" s="1"/>
  <c r="M134" i="22"/>
  <c r="L134" i="22" s="1"/>
  <c r="N134" i="22" s="1"/>
  <c r="M133" i="22"/>
  <c r="L133" i="22" s="1"/>
  <c r="N133" i="22" s="1"/>
  <c r="M132" i="22"/>
  <c r="L132" i="22" s="1"/>
  <c r="N132" i="22" s="1"/>
  <c r="M131" i="22"/>
  <c r="L131" i="22" s="1"/>
  <c r="N131" i="22" s="1"/>
  <c r="M130" i="22"/>
  <c r="L130" i="22" s="1"/>
  <c r="N130" i="22" s="1"/>
  <c r="M129" i="22"/>
  <c r="L129" i="22"/>
  <c r="N129" i="22" s="1"/>
  <c r="M128" i="22"/>
  <c r="L128" i="22"/>
  <c r="N128" i="22" s="1"/>
  <c r="M127" i="22"/>
  <c r="L127" i="22"/>
  <c r="N127" i="22" s="1"/>
  <c r="M126" i="22"/>
  <c r="L126" i="22" s="1"/>
  <c r="N126" i="22" s="1"/>
  <c r="M125" i="22"/>
  <c r="L125" i="22" s="1"/>
  <c r="N125" i="22" s="1"/>
  <c r="M124" i="22"/>
  <c r="L124" i="22"/>
  <c r="N124" i="22" s="1"/>
  <c r="M123" i="22"/>
  <c r="L123" i="22" s="1"/>
  <c r="N123" i="22" s="1"/>
  <c r="M122" i="22"/>
  <c r="L122" i="22" s="1"/>
  <c r="N122" i="22" s="1"/>
  <c r="M121" i="22"/>
  <c r="L121" i="22"/>
  <c r="N121" i="22" s="1"/>
  <c r="M120" i="22"/>
  <c r="L120" i="22" s="1"/>
  <c r="N120" i="22" s="1"/>
  <c r="M119" i="22"/>
  <c r="L119" i="22" s="1"/>
  <c r="N119" i="22" s="1"/>
  <c r="M118" i="22"/>
  <c r="L118" i="22" s="1"/>
  <c r="N118" i="22" s="1"/>
  <c r="M117" i="22"/>
  <c r="L117" i="22"/>
  <c r="N117" i="22" s="1"/>
  <c r="M116" i="22"/>
  <c r="L116" i="22" s="1"/>
  <c r="N116" i="22" s="1"/>
  <c r="M115" i="22"/>
  <c r="L115" i="22" s="1"/>
  <c r="N115" i="22" s="1"/>
  <c r="M114" i="22"/>
  <c r="L114" i="22" s="1"/>
  <c r="N114" i="22" s="1"/>
  <c r="M113" i="22"/>
  <c r="L113" i="22" s="1"/>
  <c r="N113" i="22" s="1"/>
  <c r="M112" i="22"/>
  <c r="L112" i="22" s="1"/>
  <c r="N112" i="22" s="1"/>
  <c r="M111" i="22"/>
  <c r="L111" i="22" s="1"/>
  <c r="N111" i="22" s="1"/>
  <c r="M110" i="22"/>
  <c r="L110" i="22"/>
  <c r="N110" i="22" s="1"/>
  <c r="M109" i="22"/>
  <c r="L109" i="22" s="1"/>
  <c r="N109" i="22" s="1"/>
  <c r="M108" i="22"/>
  <c r="L108" i="22"/>
  <c r="N108" i="22" s="1"/>
  <c r="M107" i="22"/>
  <c r="L107" i="22" s="1"/>
  <c r="N107" i="22" s="1"/>
  <c r="M106" i="22"/>
  <c r="L106" i="22"/>
  <c r="N106" i="22" s="1"/>
  <c r="M105" i="22"/>
  <c r="L105" i="22" s="1"/>
  <c r="N105" i="22" s="1"/>
  <c r="M104" i="22"/>
  <c r="L104" i="22" s="1"/>
  <c r="N104" i="22" s="1"/>
  <c r="M103" i="22"/>
  <c r="L103" i="22" s="1"/>
  <c r="N103" i="22" s="1"/>
  <c r="M102" i="22"/>
  <c r="L102" i="22" s="1"/>
  <c r="N102" i="22" s="1"/>
  <c r="M101" i="22"/>
  <c r="L101" i="22"/>
  <c r="N101" i="22" s="1"/>
  <c r="M100" i="22"/>
  <c r="L100" i="22"/>
  <c r="N100" i="22" s="1"/>
  <c r="M99" i="22"/>
  <c r="L99" i="22"/>
  <c r="N99" i="22" s="1"/>
  <c r="M98" i="22"/>
  <c r="L98" i="22" s="1"/>
  <c r="N98" i="22" s="1"/>
  <c r="M97" i="22"/>
  <c r="L97" i="22" s="1"/>
  <c r="N97" i="22" s="1"/>
  <c r="M96" i="22"/>
  <c r="L96" i="22"/>
  <c r="N96" i="22" s="1"/>
  <c r="M95" i="22"/>
  <c r="L95" i="22" s="1"/>
  <c r="N95" i="22" s="1"/>
  <c r="M94" i="22"/>
  <c r="L94" i="22" s="1"/>
  <c r="N94" i="22" s="1"/>
  <c r="M93" i="22"/>
  <c r="L93" i="22"/>
  <c r="N93" i="22" s="1"/>
  <c r="M92" i="22"/>
  <c r="L92" i="22"/>
  <c r="N92" i="22" s="1"/>
  <c r="M91" i="22"/>
  <c r="L91" i="22" s="1"/>
  <c r="N91" i="22" s="1"/>
  <c r="M90" i="22"/>
  <c r="L90" i="22" s="1"/>
  <c r="N90" i="22" s="1"/>
  <c r="M89" i="22"/>
  <c r="L89" i="22" s="1"/>
  <c r="N89" i="22" s="1"/>
  <c r="M88" i="22"/>
  <c r="L88" i="22" s="1"/>
  <c r="N88" i="22" s="1"/>
  <c r="M87" i="22"/>
  <c r="L87" i="22" s="1"/>
  <c r="N87" i="22" s="1"/>
  <c r="M86" i="22"/>
  <c r="L86" i="22"/>
  <c r="N86" i="22" s="1"/>
  <c r="M85" i="22"/>
  <c r="L85" i="22" s="1"/>
  <c r="N85" i="22" s="1"/>
  <c r="M84" i="22"/>
  <c r="L84" i="22" s="1"/>
  <c r="N84" i="22" s="1"/>
  <c r="M83" i="22"/>
  <c r="L83" i="22" s="1"/>
  <c r="N83" i="22" s="1"/>
  <c r="M82" i="22"/>
  <c r="L82" i="22" s="1"/>
  <c r="N82" i="22" s="1"/>
  <c r="M81" i="22"/>
  <c r="L81" i="22" s="1"/>
  <c r="N81" i="22" s="1"/>
  <c r="M80" i="22"/>
  <c r="L80" i="22"/>
  <c r="N80" i="22" s="1"/>
  <c r="M79" i="22"/>
  <c r="L79" i="22"/>
  <c r="N79" i="22" s="1"/>
  <c r="M78" i="22"/>
  <c r="L78" i="22" s="1"/>
  <c r="N78" i="22" s="1"/>
  <c r="M77" i="22"/>
  <c r="L77" i="22" s="1"/>
  <c r="N77" i="22" s="1"/>
  <c r="M76" i="22"/>
  <c r="L76" i="22" s="1"/>
  <c r="N76" i="22" s="1"/>
  <c r="M75" i="22"/>
  <c r="L75" i="22"/>
  <c r="N75" i="22" s="1"/>
  <c r="M74" i="22"/>
  <c r="L74" i="22" s="1"/>
  <c r="N74" i="22" s="1"/>
  <c r="M73" i="22"/>
  <c r="L73" i="22" s="1"/>
  <c r="N73" i="22" s="1"/>
  <c r="M72" i="22"/>
  <c r="L72" i="22"/>
  <c r="N72" i="22" s="1"/>
  <c r="M71" i="22"/>
  <c r="L71" i="22" s="1"/>
  <c r="N71" i="22" s="1"/>
  <c r="M70" i="22"/>
  <c r="L70" i="22" s="1"/>
  <c r="N70" i="22" s="1"/>
  <c r="M69" i="22"/>
  <c r="L69" i="22" s="1"/>
  <c r="N69" i="22" s="1"/>
  <c r="M68" i="22"/>
  <c r="L68" i="22" s="1"/>
  <c r="N68" i="22" s="1"/>
  <c r="M67" i="22"/>
  <c r="L67" i="22" s="1"/>
  <c r="N67" i="22" s="1"/>
  <c r="M66" i="22"/>
  <c r="L66" i="22" s="1"/>
  <c r="N66" i="22" s="1"/>
  <c r="M65" i="22"/>
  <c r="L65" i="22" s="1"/>
  <c r="N65" i="22" s="1"/>
  <c r="M64" i="22"/>
  <c r="L64" i="22"/>
  <c r="N64" i="22" s="1"/>
  <c r="M63" i="22"/>
  <c r="L63" i="22" s="1"/>
  <c r="N63" i="22" s="1"/>
  <c r="M62" i="22"/>
  <c r="L62" i="22" s="1"/>
  <c r="N62" i="22" s="1"/>
  <c r="M61" i="22"/>
  <c r="L61" i="22"/>
  <c r="N61" i="22" s="1"/>
  <c r="M60" i="22"/>
  <c r="L60" i="22"/>
  <c r="N60" i="22" s="1"/>
  <c r="M59" i="22"/>
  <c r="L59" i="22" s="1"/>
  <c r="N59" i="22" s="1"/>
  <c r="M58" i="22"/>
  <c r="L58" i="22" s="1"/>
  <c r="N58" i="22" s="1"/>
  <c r="M57" i="22"/>
  <c r="L57" i="22" s="1"/>
  <c r="N57" i="22" s="1"/>
  <c r="M56" i="22"/>
  <c r="L56" i="22" s="1"/>
  <c r="N56" i="22" s="1"/>
  <c r="M55" i="22"/>
  <c r="L55" i="22" s="1"/>
  <c r="N55" i="22" s="1"/>
  <c r="M54" i="22"/>
  <c r="L54" i="22"/>
  <c r="N54" i="22" s="1"/>
  <c r="M53" i="22"/>
  <c r="L53" i="22" s="1"/>
  <c r="N53" i="22" s="1"/>
  <c r="M52" i="22"/>
  <c r="L52" i="22"/>
  <c r="N52" i="22" s="1"/>
  <c r="M51" i="22"/>
  <c r="L51" i="22"/>
  <c r="N51" i="22" s="1"/>
  <c r="M50" i="22"/>
  <c r="L50" i="22" s="1"/>
  <c r="N50" i="22" s="1"/>
  <c r="M49" i="22"/>
  <c r="L49" i="22" s="1"/>
  <c r="N49" i="22" s="1"/>
  <c r="M48" i="22"/>
  <c r="L48" i="22" s="1"/>
  <c r="N48" i="22" s="1"/>
  <c r="M47" i="22"/>
  <c r="L47" i="22" s="1"/>
  <c r="N47" i="22" s="1"/>
  <c r="M46" i="22"/>
  <c r="L46" i="22" s="1"/>
  <c r="N46" i="22" s="1"/>
  <c r="M45" i="22"/>
  <c r="L45" i="22"/>
  <c r="N45" i="22" s="1"/>
  <c r="M44" i="22"/>
  <c r="L44" i="22"/>
  <c r="N44" i="22" s="1"/>
  <c r="M43" i="22"/>
  <c r="L43" i="22"/>
  <c r="N43" i="22" s="1"/>
  <c r="M42" i="22"/>
  <c r="L42" i="22" s="1"/>
  <c r="N42" i="22" s="1"/>
  <c r="M41" i="22"/>
  <c r="L41" i="22" s="1"/>
  <c r="N41" i="22" s="1"/>
  <c r="M40" i="22"/>
  <c r="L40" i="22" s="1"/>
  <c r="N40" i="22" s="1"/>
  <c r="M39" i="22"/>
  <c r="L39" i="22" s="1"/>
  <c r="N39" i="22" s="1"/>
  <c r="M38" i="22"/>
  <c r="L38" i="22"/>
  <c r="N38" i="22" s="1"/>
  <c r="M37" i="22"/>
  <c r="L37" i="22"/>
  <c r="N37" i="22" s="1"/>
  <c r="M36" i="22"/>
  <c r="L36" i="22"/>
  <c r="N36" i="22" s="1"/>
  <c r="M35" i="22"/>
  <c r="L35" i="22" s="1"/>
  <c r="N35" i="22" s="1"/>
  <c r="M34" i="22"/>
  <c r="L34" i="22" s="1"/>
  <c r="N34" i="22" s="1"/>
  <c r="M33" i="22"/>
  <c r="L33" i="22"/>
  <c r="N33" i="22" s="1"/>
  <c r="M32" i="22"/>
  <c r="L32" i="22" s="1"/>
  <c r="N32" i="22" s="1"/>
  <c r="M31" i="22"/>
  <c r="L31" i="22" s="1"/>
  <c r="N31" i="22" s="1"/>
  <c r="M29" i="22"/>
  <c r="L29" i="22"/>
  <c r="N29" i="22" s="1"/>
  <c r="M28" i="22"/>
  <c r="L28" i="22"/>
  <c r="N28" i="22" s="1"/>
  <c r="M27" i="22"/>
  <c r="L27" i="22" s="1"/>
  <c r="N27" i="22" s="1"/>
  <c r="M26" i="22"/>
  <c r="L26" i="22" s="1"/>
  <c r="N26" i="22" s="1"/>
  <c r="M25" i="22"/>
  <c r="L25" i="22" s="1"/>
  <c r="N25" i="22" s="1"/>
  <c r="M24" i="22"/>
  <c r="L24" i="22" s="1"/>
  <c r="N24" i="22" s="1"/>
  <c r="M23" i="22"/>
  <c r="L23" i="22"/>
  <c r="N23" i="22" s="1"/>
  <c r="M22" i="22"/>
  <c r="L22" i="22" s="1"/>
  <c r="N22" i="22" s="1"/>
  <c r="M21" i="22"/>
  <c r="L21" i="22" s="1"/>
  <c r="N21" i="22" s="1"/>
  <c r="M20" i="22"/>
  <c r="L20" i="22" s="1"/>
  <c r="N20" i="22" s="1"/>
  <c r="M19" i="22"/>
  <c r="L19" i="22" s="1"/>
  <c r="N19" i="22" s="1"/>
  <c r="M18" i="22"/>
  <c r="L18" i="22" s="1"/>
  <c r="N18" i="22" s="1"/>
  <c r="M17" i="22"/>
  <c r="L17" i="22" s="1"/>
  <c r="N17" i="22" s="1"/>
  <c r="M16" i="22"/>
  <c r="L16" i="22"/>
  <c r="N16" i="22" s="1"/>
  <c r="M15" i="22"/>
  <c r="L15" i="22"/>
  <c r="N15" i="22" s="1"/>
  <c r="M14" i="22"/>
  <c r="L14" i="22"/>
  <c r="N14" i="22" s="1"/>
  <c r="M13" i="22"/>
  <c r="L13" i="22" s="1"/>
  <c r="N13" i="22" s="1"/>
  <c r="M12" i="22"/>
  <c r="L12" i="22" s="1"/>
  <c r="N12" i="22" s="1"/>
  <c r="M11" i="22"/>
  <c r="L11" i="22" s="1"/>
  <c r="N11" i="22" s="1"/>
  <c r="M10" i="22"/>
  <c r="L10" i="22" s="1"/>
  <c r="N10" i="22" s="1"/>
  <c r="M9" i="22"/>
  <c r="L9" i="22" s="1"/>
  <c r="N9" i="22" s="1"/>
  <c r="M8" i="22"/>
  <c r="L8" i="22" s="1"/>
  <c r="N8" i="22" s="1"/>
  <c r="M7" i="22"/>
  <c r="M192" i="22" s="1"/>
  <c r="L7" i="22"/>
  <c r="N7" i="22" s="1"/>
  <c r="M437" i="14"/>
  <c r="L437" i="14" s="1"/>
  <c r="N437" i="14" s="1"/>
  <c r="C447" i="14"/>
  <c r="M425" i="14"/>
  <c r="L425" i="14" s="1"/>
  <c r="N425" i="14" s="1"/>
  <c r="M426" i="14"/>
  <c r="L426" i="14" s="1"/>
  <c r="N426" i="14" s="1"/>
  <c r="M424" i="14"/>
  <c r="L424" i="14" s="1"/>
  <c r="N424" i="14" s="1"/>
  <c r="M423" i="14"/>
  <c r="L423" i="14" s="1"/>
  <c r="N423" i="14" s="1"/>
  <c r="M422" i="14"/>
  <c r="L422" i="14" s="1"/>
  <c r="N422" i="14" s="1"/>
  <c r="M440" i="14"/>
  <c r="L440" i="14" s="1"/>
  <c r="N440" i="14" s="1"/>
  <c r="M441" i="14"/>
  <c r="L441" i="14" s="1"/>
  <c r="N441" i="14" s="1"/>
  <c r="M439" i="14"/>
  <c r="L439" i="14" s="1"/>
  <c r="N439" i="14" s="1"/>
  <c r="M433" i="14"/>
  <c r="L433" i="14" s="1"/>
  <c r="N433" i="14" s="1"/>
  <c r="M434" i="14"/>
  <c r="L434" i="14" s="1"/>
  <c r="N434" i="14" s="1"/>
  <c r="M438" i="14"/>
  <c r="L438" i="14" s="1"/>
  <c r="N438" i="14" s="1"/>
  <c r="M435" i="14"/>
  <c r="L435" i="14" s="1"/>
  <c r="N435" i="14" s="1"/>
  <c r="M418" i="14"/>
  <c r="L418" i="14" s="1"/>
  <c r="M436" i="14"/>
  <c r="L436" i="14" s="1"/>
  <c r="N436" i="14" s="1"/>
  <c r="M428" i="14"/>
  <c r="I447" i="14"/>
  <c r="M420" i="14"/>
  <c r="L420" i="14" s="1"/>
  <c r="N420" i="14" s="1"/>
  <c r="M431" i="14"/>
  <c r="L431" i="14" s="1"/>
  <c r="N431" i="14" s="1"/>
  <c r="M432" i="14"/>
  <c r="L432" i="14" s="1"/>
  <c r="N432" i="14" s="1"/>
  <c r="M430" i="14"/>
  <c r="L430" i="14" s="1"/>
  <c r="N430" i="14" s="1"/>
  <c r="M419" i="14"/>
  <c r="L419" i="14" s="1"/>
  <c r="N419" i="14" s="1"/>
  <c r="M427" i="14"/>
  <c r="L427" i="14" s="1"/>
  <c r="N427" i="14" s="1"/>
  <c r="M429" i="14"/>
  <c r="L429" i="14" s="1"/>
  <c r="N429" i="14" s="1"/>
  <c r="M421" i="14"/>
  <c r="L421" i="14" s="1"/>
  <c r="N421" i="14" s="1"/>
  <c r="M412" i="14"/>
  <c r="L412" i="14" s="1"/>
  <c r="N412" i="14" s="1"/>
  <c r="M413" i="14"/>
  <c r="L413" i="14" s="1"/>
  <c r="N413" i="14" s="1"/>
  <c r="M414" i="14"/>
  <c r="L414" i="14" s="1"/>
  <c r="N414" i="14" s="1"/>
  <c r="M415" i="14"/>
  <c r="L415" i="14" s="1"/>
  <c r="N415" i="14" s="1"/>
  <c r="M416" i="14"/>
  <c r="L416" i="14" s="1"/>
  <c r="N416" i="14" s="1"/>
  <c r="M411" i="14"/>
  <c r="L411" i="14" s="1"/>
  <c r="N411" i="14" s="1"/>
  <c r="M408" i="14"/>
  <c r="L408" i="14" s="1"/>
  <c r="N408" i="14" s="1"/>
  <c r="N192" i="22" l="1"/>
  <c r="L192" i="22"/>
  <c r="L428" i="14"/>
  <c r="N428" i="14" s="1"/>
  <c r="N418" i="14"/>
  <c r="M417" i="14"/>
  <c r="L417" i="14" s="1"/>
  <c r="N417" i="14" s="1"/>
  <c r="M410" i="14" l="1"/>
  <c r="L410" i="14" s="1"/>
  <c r="N410" i="14" s="1"/>
  <c r="M409" i="14"/>
  <c r="L409" i="14" s="1"/>
  <c r="N409" i="14" s="1"/>
  <c r="M407" i="14"/>
  <c r="L407" i="14" s="1"/>
  <c r="N407" i="14" s="1"/>
  <c r="M406" i="14"/>
  <c r="L406" i="14" s="1"/>
  <c r="N406" i="14" s="1"/>
  <c r="M405" i="14"/>
  <c r="L405" i="14" s="1"/>
  <c r="N405" i="14" s="1"/>
  <c r="M403" i="14"/>
  <c r="L403" i="14" s="1"/>
  <c r="N403" i="14" s="1"/>
  <c r="M404" i="14"/>
  <c r="L404" i="14" s="1"/>
  <c r="N404" i="14" s="1"/>
  <c r="M402" i="14"/>
  <c r="L402" i="14" s="1"/>
  <c r="N402" i="14" s="1"/>
  <c r="M401" i="14"/>
  <c r="L401" i="14" s="1"/>
  <c r="N401" i="14" s="1"/>
  <c r="M400" i="14"/>
  <c r="L400" i="14" s="1"/>
  <c r="N400" i="14" s="1"/>
  <c r="M382" i="14"/>
  <c r="L382" i="14" s="1"/>
  <c r="N382" i="14" s="1"/>
  <c r="M398" i="14"/>
  <c r="L398" i="14" s="1"/>
  <c r="N398" i="14" s="1"/>
  <c r="M399" i="14"/>
  <c r="L399" i="14" s="1"/>
  <c r="N399" i="14" s="1"/>
  <c r="M392" i="14"/>
  <c r="L392" i="14" s="1"/>
  <c r="N392" i="14" s="1"/>
  <c r="M362" i="14"/>
  <c r="L362" i="14" s="1"/>
  <c r="N362" i="14" s="1"/>
  <c r="M361" i="14"/>
  <c r="L361" i="14" s="1"/>
  <c r="N361" i="14" s="1"/>
  <c r="M397" i="14" l="1"/>
  <c r="L397" i="14" s="1"/>
  <c r="N397" i="14" s="1"/>
  <c r="M396" i="14"/>
  <c r="L396" i="14" s="1"/>
  <c r="N396" i="14" s="1"/>
  <c r="M395" i="14"/>
  <c r="L395" i="14" s="1"/>
  <c r="N395" i="14" s="1"/>
  <c r="M393" i="14"/>
  <c r="L393" i="14" s="1"/>
  <c r="N393" i="14" s="1"/>
  <c r="M394" i="14"/>
  <c r="L394" i="14" s="1"/>
  <c r="N394" i="14" s="1"/>
  <c r="M388" i="14"/>
  <c r="L388" i="14" s="1"/>
  <c r="N388" i="14" s="1"/>
  <c r="M391" i="14"/>
  <c r="L391" i="14" s="1"/>
  <c r="N391" i="14" s="1"/>
  <c r="M385" i="14"/>
  <c r="L385" i="14" s="1"/>
  <c r="M390" i="14"/>
  <c r="L390" i="14" s="1"/>
  <c r="N390" i="14" s="1"/>
  <c r="M389" i="14"/>
  <c r="L389" i="14" s="1"/>
  <c r="N389" i="14" s="1"/>
  <c r="M387" i="14"/>
  <c r="L387" i="14" s="1"/>
  <c r="N387" i="14" s="1"/>
  <c r="M386" i="14"/>
  <c r="L386" i="14" s="1"/>
  <c r="N386" i="14" s="1"/>
  <c r="M384" i="14"/>
  <c r="L384" i="14" s="1"/>
  <c r="N384" i="14" s="1"/>
  <c r="M383" i="14"/>
  <c r="L383" i="14" s="1"/>
  <c r="N383" i="14" s="1"/>
  <c r="M381" i="14"/>
  <c r="L381" i="14" s="1"/>
  <c r="N381" i="14" s="1"/>
  <c r="M380" i="14"/>
  <c r="L380" i="14" s="1"/>
  <c r="N380" i="14" s="1"/>
  <c r="M379" i="14"/>
  <c r="L379" i="14" s="1"/>
  <c r="N379" i="14" s="1"/>
  <c r="M378" i="14"/>
  <c r="L378" i="14" s="1"/>
  <c r="N378" i="14" s="1"/>
  <c r="M377" i="14"/>
  <c r="L377" i="14" s="1"/>
  <c r="N377" i="14" s="1"/>
  <c r="M376" i="14"/>
  <c r="L376" i="14" s="1"/>
  <c r="N376" i="14" s="1"/>
  <c r="M373" i="14"/>
  <c r="L373" i="14" s="1"/>
  <c r="N373" i="14" s="1"/>
  <c r="M372" i="14"/>
  <c r="L372" i="14" s="1"/>
  <c r="N372" i="14" s="1"/>
  <c r="M371" i="14"/>
  <c r="L371" i="14" s="1"/>
  <c r="N371" i="14" s="1"/>
  <c r="M360" i="14"/>
  <c r="L360" i="14" s="1"/>
  <c r="N360" i="14" s="1"/>
  <c r="M359" i="14"/>
  <c r="L359" i="14" s="1"/>
  <c r="N359" i="14" s="1"/>
  <c r="M370" i="14"/>
  <c r="L370" i="14" s="1"/>
  <c r="N370" i="14" s="1"/>
  <c r="M369" i="14"/>
  <c r="L369" i="14" s="1"/>
  <c r="N369" i="14" s="1"/>
  <c r="M374" i="14"/>
  <c r="L374" i="14" s="1"/>
  <c r="N374" i="14" s="1"/>
  <c r="M375" i="14"/>
  <c r="L375" i="14" s="1"/>
  <c r="N375" i="14" s="1"/>
  <c r="M367" i="14"/>
  <c r="L367" i="14" s="1"/>
  <c r="N367" i="14" s="1"/>
  <c r="M366" i="14"/>
  <c r="L366" i="14" s="1"/>
  <c r="N366" i="14" s="1"/>
  <c r="M368" i="14"/>
  <c r="L368" i="14" s="1"/>
  <c r="N368" i="14" s="1"/>
  <c r="M365" i="14"/>
  <c r="L365" i="14" s="1"/>
  <c r="N365" i="14" s="1"/>
  <c r="M364" i="14"/>
  <c r="L364" i="14" s="1"/>
  <c r="N364" i="14" s="1"/>
  <c r="M363" i="14"/>
  <c r="L363" i="14" s="1"/>
  <c r="N363" i="14" s="1"/>
  <c r="M355" i="14"/>
  <c r="L355" i="14" s="1"/>
  <c r="N355" i="14" s="1"/>
  <c r="N385" i="14" l="1"/>
  <c r="M356" i="14"/>
  <c r="L356" i="14" s="1"/>
  <c r="N356" i="14" s="1"/>
  <c r="M358" i="14"/>
  <c r="L358" i="14" s="1"/>
  <c r="N358" i="14" s="1"/>
  <c r="M357" i="14"/>
  <c r="L357" i="14" s="1"/>
  <c r="N357" i="14" s="1"/>
  <c r="M354" i="14"/>
  <c r="L354" i="14" s="1"/>
  <c r="N354" i="14" s="1"/>
  <c r="M353" i="14"/>
  <c r="L353" i="14" s="1"/>
  <c r="N353" i="14" s="1"/>
  <c r="M326" i="14"/>
  <c r="L326" i="14" s="1"/>
  <c r="N326" i="14" s="1"/>
  <c r="M338" i="14"/>
  <c r="L338" i="14" s="1"/>
  <c r="N338" i="14" s="1"/>
  <c r="M348" i="14"/>
  <c r="L348" i="14" s="1"/>
  <c r="N348" i="14" s="1"/>
  <c r="M352" i="14"/>
  <c r="L352" i="14" s="1"/>
  <c r="N352" i="14" s="1"/>
  <c r="M347" i="14"/>
  <c r="L347" i="14" s="1"/>
  <c r="N347" i="14" s="1"/>
  <c r="M346" i="14"/>
  <c r="L346" i="14" s="1"/>
  <c r="N346" i="14" s="1"/>
  <c r="M345" i="14"/>
  <c r="L345" i="14" s="1"/>
  <c r="N345" i="14" s="1"/>
  <c r="M344" i="14"/>
  <c r="L344" i="14" s="1"/>
  <c r="N344" i="14" s="1"/>
  <c r="M349" i="14"/>
  <c r="L349" i="14" s="1"/>
  <c r="N349" i="14" s="1"/>
  <c r="M351" i="14"/>
  <c r="L351" i="14" s="1"/>
  <c r="N351" i="14" s="1"/>
  <c r="M350" i="14"/>
  <c r="L350" i="14" s="1"/>
  <c r="N350" i="14" s="1"/>
  <c r="M343" i="14"/>
  <c r="L343" i="14" s="1"/>
  <c r="N343" i="14" s="1"/>
  <c r="M342" i="14"/>
  <c r="L342" i="14" s="1"/>
  <c r="N342" i="14" s="1"/>
  <c r="M341" i="14"/>
  <c r="L341" i="14" s="1"/>
  <c r="N341" i="14" s="1"/>
  <c r="M340" i="14"/>
  <c r="L340" i="14" s="1"/>
  <c r="N340" i="14" s="1"/>
  <c r="M339" i="14"/>
  <c r="L339" i="14" s="1"/>
  <c r="N339" i="14" s="1"/>
  <c r="M321" i="14"/>
  <c r="L321" i="14" s="1"/>
  <c r="N321" i="14" s="1"/>
  <c r="M337" i="14"/>
  <c r="L337" i="14" s="1"/>
  <c r="N337" i="14" s="1"/>
  <c r="M336" i="14"/>
  <c r="L336" i="14" s="1"/>
  <c r="N336" i="14" s="1"/>
  <c r="M332" i="14"/>
  <c r="L332" i="14" s="1"/>
  <c r="N332" i="14" s="1"/>
  <c r="M331" i="14"/>
  <c r="L331" i="14" s="1"/>
  <c r="N331" i="14" s="1"/>
  <c r="M330" i="14"/>
  <c r="L330" i="14" s="1"/>
  <c r="N330" i="14" s="1"/>
  <c r="M329" i="14"/>
  <c r="L329" i="14" s="1"/>
  <c r="N329" i="14" s="1"/>
  <c r="M335" i="14"/>
  <c r="L335" i="14" s="1"/>
  <c r="N335" i="14" s="1"/>
  <c r="M334" i="14"/>
  <c r="L334" i="14" s="1"/>
  <c r="N334" i="14" s="1"/>
  <c r="M333" i="14"/>
  <c r="L333" i="14" s="1"/>
  <c r="N333" i="14" s="1"/>
  <c r="M328" i="14"/>
  <c r="L328" i="14" s="1"/>
  <c r="N328" i="14" s="1"/>
  <c r="M327" i="14"/>
  <c r="L327" i="14" s="1"/>
  <c r="N327" i="14" s="1"/>
  <c r="M275" i="14"/>
  <c r="L275" i="14" s="1"/>
  <c r="N275" i="14" s="1"/>
  <c r="M274" i="14"/>
  <c r="L274" i="14" s="1"/>
  <c r="N274" i="14" s="1"/>
  <c r="M256" i="14"/>
  <c r="L256" i="14" s="1"/>
  <c r="N256" i="14" s="1"/>
  <c r="M254" i="14"/>
  <c r="L254" i="14" s="1"/>
  <c r="N254" i="14" s="1"/>
  <c r="M253" i="14"/>
  <c r="L253" i="14" s="1"/>
  <c r="N253" i="14" s="1"/>
  <c r="M216" i="14"/>
  <c r="L216" i="14" s="1"/>
  <c r="N216" i="14" s="1"/>
  <c r="M215" i="14"/>
  <c r="L215" i="14" s="1"/>
  <c r="N215" i="14" s="1"/>
  <c r="M322" i="14"/>
  <c r="L322" i="14" s="1"/>
  <c r="N322" i="14" s="1"/>
  <c r="M325" i="14"/>
  <c r="L325" i="14" s="1"/>
  <c r="N325" i="14" s="1"/>
  <c r="M324" i="14"/>
  <c r="L324" i="14" s="1"/>
  <c r="N324" i="14" s="1"/>
  <c r="M323" i="14"/>
  <c r="L323" i="14" s="1"/>
  <c r="N323" i="14" s="1"/>
  <c r="M320" i="14"/>
  <c r="L320" i="14" s="1"/>
  <c r="N320" i="14" s="1"/>
  <c r="M318" i="14"/>
  <c r="L318" i="14" s="1"/>
  <c r="N318" i="14" s="1"/>
  <c r="M319" i="14"/>
  <c r="L319" i="14" s="1"/>
  <c r="N319" i="14" s="1"/>
  <c r="M317" i="14"/>
  <c r="L317" i="14" s="1"/>
  <c r="N317" i="14" s="1"/>
  <c r="M316" i="14"/>
  <c r="L316" i="14" s="1"/>
  <c r="N316" i="14" s="1"/>
  <c r="M314" i="14"/>
  <c r="L314" i="14" s="1"/>
  <c r="N314" i="14" s="1"/>
  <c r="M313" i="14"/>
  <c r="L313" i="14" s="1"/>
  <c r="N313" i="14" s="1"/>
  <c r="M315" i="14"/>
  <c r="L315" i="14" s="1"/>
  <c r="N315" i="14" s="1"/>
  <c r="M312" i="14" l="1"/>
  <c r="L312" i="14" s="1"/>
  <c r="N312" i="14" s="1"/>
  <c r="M311" i="14"/>
  <c r="L311" i="14" s="1"/>
  <c r="N311" i="14" s="1"/>
  <c r="M310" i="14"/>
  <c r="L310" i="14" s="1"/>
  <c r="N310" i="14" s="1"/>
  <c r="M309" i="14"/>
  <c r="L309" i="14" s="1"/>
  <c r="N309" i="14" s="1"/>
  <c r="M308" i="14"/>
  <c r="L308" i="14" s="1"/>
  <c r="N308" i="14" s="1"/>
  <c r="M307" i="14"/>
  <c r="L307" i="14" s="1"/>
  <c r="N307" i="14" s="1"/>
  <c r="M306" i="14"/>
  <c r="L306" i="14" s="1"/>
  <c r="N306" i="14" s="1"/>
  <c r="M305" i="14"/>
  <c r="L305" i="14" s="1"/>
  <c r="N305" i="14" s="1"/>
  <c r="M304" i="14"/>
  <c r="L304" i="14" s="1"/>
  <c r="N304" i="14" s="1"/>
  <c r="M303" i="14"/>
  <c r="L303" i="14" s="1"/>
  <c r="N303" i="14" s="1"/>
  <c r="M299" i="14"/>
  <c r="L299" i="14" s="1"/>
  <c r="N299" i="14" s="1"/>
  <c r="M302" i="14" l="1"/>
  <c r="L302" i="14" s="1"/>
  <c r="N302" i="14" s="1"/>
  <c r="M301" i="14"/>
  <c r="L301" i="14" s="1"/>
  <c r="N301" i="14" s="1"/>
  <c r="M300" i="14"/>
  <c r="L300" i="14" s="1"/>
  <c r="N300" i="14" s="1"/>
  <c r="M298" i="14"/>
  <c r="L298" i="14" s="1"/>
  <c r="N298" i="14" s="1"/>
  <c r="M297" i="14"/>
  <c r="L297" i="14" s="1"/>
  <c r="N297" i="14" s="1"/>
  <c r="M296" i="14"/>
  <c r="L296" i="14" s="1"/>
  <c r="N296" i="14" s="1"/>
  <c r="M291" i="14"/>
  <c r="L291" i="14" s="1"/>
  <c r="N291" i="14" s="1"/>
  <c r="M290" i="14"/>
  <c r="L290" i="14" s="1"/>
  <c r="N290" i="14" s="1"/>
  <c r="M295" i="14"/>
  <c r="L295" i="14" s="1"/>
  <c r="N295" i="14" s="1"/>
  <c r="M293" i="14"/>
  <c r="L293" i="14" s="1"/>
  <c r="N293" i="14" s="1"/>
  <c r="M294" i="14"/>
  <c r="L294" i="14" s="1"/>
  <c r="N294" i="14" s="1"/>
  <c r="M284" i="14"/>
  <c r="L284" i="14" s="1"/>
  <c r="N284" i="14" s="1"/>
  <c r="M289" i="14"/>
  <c r="L289" i="14" s="1"/>
  <c r="N289" i="14" s="1"/>
  <c r="M288" i="14"/>
  <c r="L288" i="14" s="1"/>
  <c r="N288" i="14" s="1"/>
  <c r="M292" i="14" l="1"/>
  <c r="L292" i="14" s="1"/>
  <c r="N292" i="14" s="1"/>
  <c r="M287" i="14"/>
  <c r="L287" i="14" s="1"/>
  <c r="N287" i="14" s="1"/>
  <c r="M286" i="14"/>
  <c r="L286" i="14" s="1"/>
  <c r="N286" i="14" s="1"/>
  <c r="M283" i="14"/>
  <c r="L283" i="14" s="1"/>
  <c r="N283" i="14" s="1"/>
  <c r="M285" i="14"/>
  <c r="L285" i="14" s="1"/>
  <c r="N285" i="14" s="1"/>
  <c r="M282" i="14"/>
  <c r="L282" i="14" s="1"/>
  <c r="N282" i="14" s="1"/>
  <c r="M281" i="14"/>
  <c r="L281" i="14" s="1"/>
  <c r="N281" i="14" s="1"/>
  <c r="M279" i="14"/>
  <c r="L279" i="14" s="1"/>
  <c r="N279" i="14" s="1"/>
  <c r="M278" i="14"/>
  <c r="L278" i="14" s="1"/>
  <c r="N278" i="14" s="1"/>
  <c r="M277" i="14"/>
  <c r="L277" i="14" s="1"/>
  <c r="N277" i="14" s="1"/>
  <c r="M276" i="14"/>
  <c r="L276" i="14" s="1"/>
  <c r="N276" i="14" s="1"/>
  <c r="M272" i="14"/>
  <c r="L272" i="14" s="1"/>
  <c r="N272" i="14" s="1"/>
  <c r="M269" i="14"/>
  <c r="L269" i="14" s="1"/>
  <c r="N269" i="14" s="1"/>
  <c r="M271" i="14"/>
  <c r="L271" i="14" s="1"/>
  <c r="N271" i="14" s="1"/>
  <c r="M273" i="14"/>
  <c r="L273" i="14" s="1"/>
  <c r="N273" i="14" s="1"/>
  <c r="M270" i="14"/>
  <c r="L270" i="14" s="1"/>
  <c r="N270" i="14" s="1"/>
  <c r="M268" i="14"/>
  <c r="L268" i="14" s="1"/>
  <c r="N268" i="14" s="1"/>
  <c r="M267" i="14"/>
  <c r="L267" i="14" s="1"/>
  <c r="N267" i="14" s="1"/>
  <c r="M252" i="14"/>
  <c r="L252" i="14" s="1"/>
  <c r="N252" i="14" s="1"/>
  <c r="M251" i="14"/>
  <c r="L251" i="14" s="1"/>
  <c r="N251" i="14" s="1"/>
  <c r="M250" i="14"/>
  <c r="L250" i="14" s="1"/>
  <c r="N250" i="14" s="1"/>
  <c r="M249" i="14"/>
  <c r="L249" i="14" s="1"/>
  <c r="N249" i="14" s="1"/>
  <c r="M248" i="14"/>
  <c r="L248" i="14" s="1"/>
  <c r="N248" i="14" s="1"/>
  <c r="M247" i="14"/>
  <c r="L247" i="14" s="1"/>
  <c r="N247" i="14" s="1"/>
  <c r="M266" i="14"/>
  <c r="L266" i="14" s="1"/>
  <c r="N266" i="14" s="1"/>
  <c r="M265" i="14"/>
  <c r="L265" i="14" s="1"/>
  <c r="N265" i="14" s="1"/>
  <c r="M264" i="14"/>
  <c r="L264" i="14" s="1"/>
  <c r="N264" i="14" s="1"/>
  <c r="M263" i="14"/>
  <c r="L263" i="14" s="1"/>
  <c r="N263" i="14" s="1"/>
  <c r="M262" i="14"/>
  <c r="L262" i="14" s="1"/>
  <c r="N262" i="14" s="1"/>
  <c r="M261" i="14"/>
  <c r="L261" i="14" s="1"/>
  <c r="N261" i="14" s="1"/>
  <c r="M258" i="14"/>
  <c r="L258" i="14" s="1"/>
  <c r="N258" i="14" s="1"/>
  <c r="M257" i="14"/>
  <c r="L257" i="14" s="1"/>
  <c r="N257" i="14" s="1"/>
  <c r="M259" i="14"/>
  <c r="L259" i="14" s="1"/>
  <c r="N259" i="14" s="1"/>
  <c r="M260" i="14"/>
  <c r="L260" i="14" s="1"/>
  <c r="N260" i="14" s="1"/>
  <c r="M255" i="14"/>
  <c r="L255" i="14" s="1"/>
  <c r="N255" i="14" s="1"/>
  <c r="M191" i="14"/>
  <c r="L191" i="14" s="1"/>
  <c r="N191" i="14" s="1"/>
  <c r="M201" i="14"/>
  <c r="L201" i="14" s="1"/>
  <c r="N201" i="14" s="1"/>
  <c r="M210" i="14"/>
  <c r="L210" i="14" s="1"/>
  <c r="N210" i="14" s="1"/>
  <c r="M211" i="14"/>
  <c r="L211" i="14" s="1"/>
  <c r="M245" i="14"/>
  <c r="L245" i="14" s="1"/>
  <c r="N245" i="14" s="1"/>
  <c r="M246" i="14"/>
  <c r="L246" i="14" s="1"/>
  <c r="N246" i="14" s="1"/>
  <c r="M243" i="14"/>
  <c r="L243" i="14" s="1"/>
  <c r="N243" i="14" s="1"/>
  <c r="M242" i="14"/>
  <c r="L242" i="14" s="1"/>
  <c r="N242" i="14" s="1"/>
  <c r="M244" i="14"/>
  <c r="L244" i="14" s="1"/>
  <c r="N244" i="14" s="1"/>
  <c r="M241" i="14"/>
  <c r="L241" i="14" s="1"/>
  <c r="N241" i="14" s="1"/>
  <c r="M240" i="14"/>
  <c r="L240" i="14" s="1"/>
  <c r="N240" i="14" s="1"/>
  <c r="M239" i="14"/>
  <c r="L239" i="14" s="1"/>
  <c r="N239" i="14" s="1"/>
  <c r="M238" i="14"/>
  <c r="L238" i="14" s="1"/>
  <c r="N238" i="14" s="1"/>
  <c r="M237" i="14"/>
  <c r="L237" i="14" s="1"/>
  <c r="N237" i="14" s="1"/>
  <c r="M236" i="14"/>
  <c r="L236" i="14" s="1"/>
  <c r="N236" i="14" s="1"/>
  <c r="M235" i="14"/>
  <c r="L235" i="14" s="1"/>
  <c r="N235" i="14" s="1"/>
  <c r="M234" i="14"/>
  <c r="L234" i="14" s="1"/>
  <c r="N234" i="14" s="1"/>
  <c r="M233" i="14"/>
  <c r="L233" i="14" s="1"/>
  <c r="N233" i="14" s="1"/>
  <c r="M212" i="14"/>
  <c r="L212" i="14" s="1"/>
  <c r="N212" i="14" s="1"/>
  <c r="M218" i="14"/>
  <c r="L218" i="14" s="1"/>
  <c r="N218" i="14" s="1"/>
  <c r="M217" i="14"/>
  <c r="L217" i="14" s="1"/>
  <c r="N217" i="14" s="1"/>
  <c r="M214" i="14"/>
  <c r="L214" i="14" s="1"/>
  <c r="N214" i="14" s="1"/>
  <c r="M213" i="14"/>
  <c r="L213" i="14" s="1"/>
  <c r="N213" i="14" s="1"/>
  <c r="M208" i="14"/>
  <c r="L208" i="14" s="1"/>
  <c r="N208" i="14" s="1"/>
  <c r="M209" i="14"/>
  <c r="L209" i="14" s="1"/>
  <c r="N209" i="14" s="1"/>
  <c r="M206" i="14"/>
  <c r="L206" i="14" s="1"/>
  <c r="N206" i="14" s="1"/>
  <c r="M207" i="14"/>
  <c r="L207" i="14" s="1"/>
  <c r="N207" i="14" s="1"/>
  <c r="M205" i="14"/>
  <c r="L205" i="14" s="1"/>
  <c r="N205" i="14" s="1"/>
  <c r="M204" i="14"/>
  <c r="L204" i="14" s="1"/>
  <c r="N204" i="14" s="1"/>
  <c r="M203" i="14"/>
  <c r="L203" i="14" s="1"/>
  <c r="N203" i="14" s="1"/>
  <c r="M200" i="14"/>
  <c r="L200" i="14" s="1"/>
  <c r="N200" i="14" s="1"/>
  <c r="M202" i="14"/>
  <c r="L202" i="14" s="1"/>
  <c r="N202" i="14" s="1"/>
  <c r="M199" i="14"/>
  <c r="L199" i="14" s="1"/>
  <c r="N199" i="14" s="1"/>
  <c r="M198" i="14"/>
  <c r="L198" i="14" s="1"/>
  <c r="N198" i="14" s="1"/>
  <c r="M197" i="14"/>
  <c r="L197" i="14" s="1"/>
  <c r="N197" i="14" s="1"/>
  <c r="M196" i="14"/>
  <c r="L196" i="14" s="1"/>
  <c r="N196" i="14" s="1"/>
  <c r="M195" i="14"/>
  <c r="L195" i="14" s="1"/>
  <c r="N195" i="14" s="1"/>
  <c r="M192" i="14"/>
  <c r="L192" i="14" s="1"/>
  <c r="N192" i="14" s="1"/>
  <c r="M194" i="14"/>
  <c r="L194" i="14" s="1"/>
  <c r="N194" i="14" s="1"/>
  <c r="M193" i="14"/>
  <c r="L193" i="14" s="1"/>
  <c r="N193" i="14" s="1"/>
  <c r="M186" i="14"/>
  <c r="L186" i="14" s="1"/>
  <c r="N186" i="14" s="1"/>
  <c r="M185" i="14"/>
  <c r="L185" i="14" s="1"/>
  <c r="N185" i="14" s="1"/>
  <c r="M184" i="14"/>
  <c r="L184" i="14" s="1"/>
  <c r="N184" i="14" s="1"/>
  <c r="M183" i="14"/>
  <c r="L183" i="14" s="1"/>
  <c r="N183" i="14" s="1"/>
  <c r="M182" i="14"/>
  <c r="L182" i="14" s="1"/>
  <c r="N182" i="14" s="1"/>
  <c r="M190" i="14"/>
  <c r="L190" i="14" s="1"/>
  <c r="N190" i="14" s="1"/>
  <c r="M189" i="14"/>
  <c r="L189" i="14" s="1"/>
  <c r="N189" i="14" s="1"/>
  <c r="M188" i="14"/>
  <c r="L188" i="14" s="1"/>
  <c r="N188" i="14" s="1"/>
  <c r="M187" i="14"/>
  <c r="L187" i="14" s="1"/>
  <c r="N187" i="14" s="1"/>
  <c r="M181" i="14"/>
  <c r="L181" i="14" s="1"/>
  <c r="N181" i="14" s="1"/>
  <c r="M180" i="14"/>
  <c r="L180" i="14" s="1"/>
  <c r="N180" i="14" s="1"/>
  <c r="M88" i="14"/>
  <c r="L88" i="14" s="1"/>
  <c r="N88" i="14" s="1"/>
  <c r="M179" i="14"/>
  <c r="L179" i="14" s="1"/>
  <c r="N179" i="14" s="1"/>
  <c r="M177" i="14"/>
  <c r="L177" i="14" s="1"/>
  <c r="N177" i="14" s="1"/>
  <c r="M178" i="14"/>
  <c r="L178" i="14" s="1"/>
  <c r="N178" i="14" s="1"/>
  <c r="M176" i="14"/>
  <c r="L176" i="14" s="1"/>
  <c r="N176" i="14" s="1"/>
  <c r="M175" i="14"/>
  <c r="L175" i="14" s="1"/>
  <c r="N175" i="14" s="1"/>
  <c r="M174" i="14"/>
  <c r="L174" i="14" s="1"/>
  <c r="N174" i="14" s="1"/>
  <c r="M173" i="14"/>
  <c r="L173" i="14" s="1"/>
  <c r="N173" i="14" s="1"/>
  <c r="M172" i="14"/>
  <c r="L172" i="14" s="1"/>
  <c r="N172" i="14" s="1"/>
  <c r="M171" i="14"/>
  <c r="L171" i="14" s="1"/>
  <c r="N171" i="14" s="1"/>
  <c r="M170" i="14"/>
  <c r="L170" i="14" s="1"/>
  <c r="N170" i="14" s="1"/>
  <c r="M169" i="14"/>
  <c r="L169" i="14" s="1"/>
  <c r="N169" i="14" s="1"/>
  <c r="M166" i="14"/>
  <c r="L166" i="14" s="1"/>
  <c r="N166" i="14" s="1"/>
  <c r="M168" i="14"/>
  <c r="L168" i="14" s="1"/>
  <c r="N168" i="14" s="1"/>
  <c r="M167" i="14"/>
  <c r="L167" i="14" s="1"/>
  <c r="N167" i="14" s="1"/>
  <c r="M164" i="14"/>
  <c r="L164" i="14" s="1"/>
  <c r="N164" i="14" s="1"/>
  <c r="M165" i="14"/>
  <c r="L165" i="14" s="1"/>
  <c r="N165" i="14" s="1"/>
  <c r="M163" i="14"/>
  <c r="L163" i="14" s="1"/>
  <c r="N163" i="14" s="1"/>
  <c r="M157" i="14"/>
  <c r="L157" i="14" s="1"/>
  <c r="N157" i="14" s="1"/>
  <c r="M162" i="14"/>
  <c r="L162" i="14" s="1"/>
  <c r="N162" i="14" s="1"/>
  <c r="M161" i="14"/>
  <c r="L161" i="14" s="1"/>
  <c r="N161" i="14" s="1"/>
  <c r="M160" i="14"/>
  <c r="L160" i="14" s="1"/>
  <c r="N160" i="14" s="1"/>
  <c r="M159" i="14"/>
  <c r="L159" i="14" s="1"/>
  <c r="N159" i="14" s="1"/>
  <c r="M158" i="14"/>
  <c r="L158" i="14" s="1"/>
  <c r="N158" i="14" s="1"/>
  <c r="M155" i="14"/>
  <c r="L155" i="14" s="1"/>
  <c r="N155" i="14" s="1"/>
  <c r="M156" i="14"/>
  <c r="L156" i="14" s="1"/>
  <c r="N156" i="14" s="1"/>
  <c r="M154" i="14"/>
  <c r="L154" i="14" s="1"/>
  <c r="N154" i="14" s="1"/>
  <c r="M153" i="14"/>
  <c r="L153" i="14" s="1"/>
  <c r="N153" i="14" s="1"/>
  <c r="M152" i="14"/>
  <c r="L152" i="14" s="1"/>
  <c r="N152" i="14" s="1"/>
  <c r="M151" i="14"/>
  <c r="L151" i="14" s="1"/>
  <c r="N151" i="14" s="1"/>
  <c r="M56" i="14"/>
  <c r="L56" i="14" s="1"/>
  <c r="N56" i="14" s="1"/>
  <c r="M150" i="14"/>
  <c r="L150" i="14" s="1"/>
  <c r="N150" i="14" s="1"/>
  <c r="M149" i="14"/>
  <c r="L149" i="14" s="1"/>
  <c r="M148" i="14"/>
  <c r="L148" i="14" s="1"/>
  <c r="N148" i="14" s="1"/>
  <c r="M143" i="14"/>
  <c r="L143" i="14" s="1"/>
  <c r="N143" i="14" s="1"/>
  <c r="M147" i="14"/>
  <c r="L147" i="14" s="1"/>
  <c r="N147" i="14" s="1"/>
  <c r="M146" i="14"/>
  <c r="L146" i="14" s="1"/>
  <c r="N146" i="14" s="1"/>
  <c r="M53" i="14"/>
  <c r="L53" i="14" s="1"/>
  <c r="N53" i="14" s="1"/>
  <c r="M52" i="14"/>
  <c r="L52" i="14" s="1"/>
  <c r="N52" i="14" s="1"/>
  <c r="M51" i="14"/>
  <c r="L51" i="14" s="1"/>
  <c r="N51" i="14" s="1"/>
  <c r="M145" i="14"/>
  <c r="L145" i="14" s="1"/>
  <c r="N145" i="14" s="1"/>
  <c r="M144" i="14"/>
  <c r="L144" i="14" s="1"/>
  <c r="N144" i="14" s="1"/>
  <c r="M142" i="14"/>
  <c r="L142" i="14" s="1"/>
  <c r="N142" i="14" s="1"/>
  <c r="N141" i="14"/>
  <c r="M127" i="14"/>
  <c r="L127" i="14" s="1"/>
  <c r="N127" i="14" s="1"/>
  <c r="M138" i="14"/>
  <c r="L138" i="14" s="1"/>
  <c r="N138" i="14" s="1"/>
  <c r="M140" i="14"/>
  <c r="L140" i="14" s="1"/>
  <c r="N140" i="14" s="1"/>
  <c r="M139" i="14"/>
  <c r="L139" i="14" s="1"/>
  <c r="N139" i="14" s="1"/>
  <c r="M136" i="14"/>
  <c r="L136" i="14" s="1"/>
  <c r="N136" i="14" s="1"/>
  <c r="M137" i="14"/>
  <c r="L137" i="14" s="1"/>
  <c r="N137" i="14" s="1"/>
  <c r="M135" i="14"/>
  <c r="L135" i="14" s="1"/>
  <c r="N135" i="14" s="1"/>
  <c r="M117" i="14"/>
  <c r="L117" i="14" s="1"/>
  <c r="N117" i="14" s="1"/>
  <c r="M115" i="14"/>
  <c r="M133" i="14"/>
  <c r="L133" i="14" s="1"/>
  <c r="N133" i="14" s="1"/>
  <c r="N131" i="14"/>
  <c r="M131" i="14"/>
  <c r="M132" i="14"/>
  <c r="L132" i="14" s="1"/>
  <c r="N132" i="14" s="1"/>
  <c r="M134" i="14"/>
  <c r="L134" i="14" s="1"/>
  <c r="N134" i="14" s="1"/>
  <c r="M130" i="14"/>
  <c r="L130" i="14" s="1"/>
  <c r="N130" i="14" s="1"/>
  <c r="M128" i="14"/>
  <c r="L128" i="14" s="1"/>
  <c r="N128" i="14" s="1"/>
  <c r="M129" i="14"/>
  <c r="L129" i="14" s="1"/>
  <c r="N129" i="14" s="1"/>
  <c r="M126" i="14"/>
  <c r="L126" i="14" s="1"/>
  <c r="N126" i="14" s="1"/>
  <c r="M121" i="14"/>
  <c r="L121" i="14" s="1"/>
  <c r="N121" i="14" s="1"/>
  <c r="M116" i="14"/>
  <c r="L116" i="14" s="1"/>
  <c r="N116" i="14" s="1"/>
  <c r="M114" i="14"/>
  <c r="L114" i="14" s="1"/>
  <c r="N114" i="14" s="1"/>
  <c r="M113" i="14"/>
  <c r="L113" i="14" s="1"/>
  <c r="N113" i="14" s="1"/>
  <c r="M112" i="14"/>
  <c r="L112" i="14" s="1"/>
  <c r="N112" i="14" s="1"/>
  <c r="M125" i="14"/>
  <c r="L125" i="14" s="1"/>
  <c r="N125" i="14" s="1"/>
  <c r="M119" i="14"/>
  <c r="L119" i="14" s="1"/>
  <c r="N119" i="14" s="1"/>
  <c r="M123" i="14"/>
  <c r="L123" i="14" s="1"/>
  <c r="N123" i="14" s="1"/>
  <c r="M124" i="14"/>
  <c r="L124" i="14" s="1"/>
  <c r="N124" i="14" s="1"/>
  <c r="M122" i="14"/>
  <c r="L122" i="14" s="1"/>
  <c r="N122" i="14" s="1"/>
  <c r="M120" i="14"/>
  <c r="L120" i="14" s="1"/>
  <c r="N120" i="14" s="1"/>
  <c r="M111" i="14"/>
  <c r="L111" i="14" s="1"/>
  <c r="N111" i="14" s="1"/>
  <c r="M118" i="14"/>
  <c r="L118" i="14" s="1"/>
  <c r="N118" i="14" s="1"/>
  <c r="M110" i="14"/>
  <c r="L110" i="14" s="1"/>
  <c r="N110" i="14" s="1"/>
  <c r="M109" i="14"/>
  <c r="L109" i="14" s="1"/>
  <c r="N109" i="14" s="1"/>
  <c r="M108" i="14"/>
  <c r="L108" i="14" s="1"/>
  <c r="N108" i="14" s="1"/>
  <c r="M103" i="14"/>
  <c r="L103" i="14" s="1"/>
  <c r="N103" i="14" s="1"/>
  <c r="M107" i="14"/>
  <c r="L107" i="14" s="1"/>
  <c r="N107" i="14" s="1"/>
  <c r="M106" i="14"/>
  <c r="L106" i="14" s="1"/>
  <c r="N106" i="14" s="1"/>
  <c r="M105" i="14"/>
  <c r="L105" i="14" s="1"/>
  <c r="N105" i="14" s="1"/>
  <c r="M91" i="14"/>
  <c r="L91" i="14" s="1"/>
  <c r="N91" i="14" s="1"/>
  <c r="M104" i="14"/>
  <c r="L104" i="14" s="1"/>
  <c r="N104" i="14" s="1"/>
  <c r="M102" i="14"/>
  <c r="L102" i="14" s="1"/>
  <c r="N102" i="14" s="1"/>
  <c r="M82" i="14"/>
  <c r="L82" i="14" s="1"/>
  <c r="N82" i="14" s="1"/>
  <c r="M90" i="14"/>
  <c r="L90" i="14" s="1"/>
  <c r="N90" i="14" s="1"/>
  <c r="M93" i="14"/>
  <c r="L93" i="14" s="1"/>
  <c r="N93" i="14" s="1"/>
  <c r="M92" i="14"/>
  <c r="L92" i="14" s="1"/>
  <c r="N92" i="14" s="1"/>
  <c r="M36" i="14"/>
  <c r="L36" i="14" s="1"/>
  <c r="N36" i="14" s="1"/>
  <c r="M17" i="14"/>
  <c r="L17" i="14" s="1"/>
  <c r="N17" i="14" s="1"/>
  <c r="M16" i="14"/>
  <c r="L16" i="14" s="1"/>
  <c r="N16" i="14" s="1"/>
  <c r="N12" i="14"/>
  <c r="M12" i="14"/>
  <c r="M11" i="14"/>
  <c r="L11" i="14" s="1"/>
  <c r="N11" i="14" s="1"/>
  <c r="M98" i="14"/>
  <c r="L98" i="14" s="1"/>
  <c r="N98" i="14" s="1"/>
  <c r="M97" i="14"/>
  <c r="L97" i="14" s="1"/>
  <c r="N97" i="14" s="1"/>
  <c r="M94" i="14"/>
  <c r="L94" i="14" s="1"/>
  <c r="N94" i="14" s="1"/>
  <c r="N74" i="14"/>
  <c r="M74" i="14"/>
  <c r="N45" i="14"/>
  <c r="M45" i="14"/>
  <c r="N35" i="14"/>
  <c r="M35" i="14"/>
  <c r="N22" i="14"/>
  <c r="M22" i="14"/>
  <c r="N23" i="14"/>
  <c r="M23" i="14"/>
  <c r="M86" i="14"/>
  <c r="L86" i="14" s="1"/>
  <c r="N86" i="14" s="1"/>
  <c r="M76" i="14"/>
  <c r="L76" i="14" s="1"/>
  <c r="N76" i="14" s="1"/>
  <c r="M75" i="14"/>
  <c r="L75" i="14" s="1"/>
  <c r="N75" i="14" s="1"/>
  <c r="N59" i="14"/>
  <c r="M59" i="14"/>
  <c r="N58" i="14"/>
  <c r="M58" i="14"/>
  <c r="N47" i="14"/>
  <c r="M47" i="14"/>
  <c r="N37" i="14"/>
  <c r="M37" i="14"/>
  <c r="N38" i="14"/>
  <c r="M38" i="14"/>
  <c r="M34" i="14"/>
  <c r="L34" i="14" s="1"/>
  <c r="N34" i="14" s="1"/>
  <c r="M10" i="14"/>
  <c r="L10" i="14" s="1"/>
  <c r="N10" i="14" s="1"/>
  <c r="M9" i="14"/>
  <c r="L9" i="14" s="1"/>
  <c r="N9" i="14" s="1"/>
  <c r="N49" i="14"/>
  <c r="M49" i="14"/>
  <c r="M70" i="14"/>
  <c r="M87" i="14"/>
  <c r="L87" i="14" s="1"/>
  <c r="N87" i="14" s="1"/>
  <c r="M100" i="14"/>
  <c r="L100" i="14" s="1"/>
  <c r="N100" i="14" s="1"/>
  <c r="M99" i="14"/>
  <c r="L99" i="14" s="1"/>
  <c r="N99" i="14" s="1"/>
  <c r="M68" i="14"/>
  <c r="L68" i="14" s="1"/>
  <c r="N68" i="14" s="1"/>
  <c r="M60" i="14"/>
  <c r="L60" i="14" s="1"/>
  <c r="N60" i="14" s="1"/>
  <c r="M32" i="14"/>
  <c r="L32" i="14" s="1"/>
  <c r="N32" i="14" s="1"/>
  <c r="M31" i="14"/>
  <c r="L31" i="14" s="1"/>
  <c r="N31" i="14" s="1"/>
  <c r="M85" i="14"/>
  <c r="L85" i="14" s="1"/>
  <c r="N85" i="14" s="1"/>
  <c r="N7" i="14"/>
  <c r="M7" i="14"/>
  <c r="M72" i="14"/>
  <c r="L72" i="14" s="1"/>
  <c r="N72" i="14" s="1"/>
  <c r="M71" i="14"/>
  <c r="L71" i="14" s="1"/>
  <c r="N71" i="14" s="1"/>
  <c r="N101" i="14"/>
  <c r="M101" i="14"/>
  <c r="N20" i="14"/>
  <c r="M20" i="14"/>
  <c r="M96" i="14"/>
  <c r="L96" i="14" s="1"/>
  <c r="N96" i="14" s="1"/>
  <c r="M15" i="14"/>
  <c r="L15" i="14" s="1"/>
  <c r="N15" i="14" s="1"/>
  <c r="M14" i="14"/>
  <c r="L14" i="14" s="1"/>
  <c r="N14" i="14" s="1"/>
  <c r="M13" i="14"/>
  <c r="L13" i="14" s="1"/>
  <c r="N13" i="14" s="1"/>
  <c r="M95" i="14"/>
  <c r="L95" i="14" s="1"/>
  <c r="M69" i="14"/>
  <c r="M66" i="14"/>
  <c r="M55" i="14"/>
  <c r="M65" i="14"/>
  <c r="M19" i="14"/>
  <c r="L19" i="14" s="1"/>
  <c r="M83" i="14"/>
  <c r="M81" i="14"/>
  <c r="M80" i="14"/>
  <c r="M79" i="14"/>
  <c r="M54" i="14"/>
  <c r="M18" i="14"/>
  <c r="M8" i="14"/>
  <c r="N21" i="14"/>
  <c r="M21" i="14"/>
  <c r="N77" i="14"/>
  <c r="M77" i="14"/>
  <c r="N39" i="14"/>
  <c r="M39" i="14"/>
  <c r="N84" i="14"/>
  <c r="M84" i="14"/>
  <c r="N78" i="14"/>
  <c r="M78" i="14"/>
  <c r="M73" i="14"/>
  <c r="L73" i="14" s="1"/>
  <c r="N73" i="14" s="1"/>
  <c r="M67" i="14"/>
  <c r="L67" i="14" s="1"/>
  <c r="N67" i="14" s="1"/>
  <c r="M64" i="14"/>
  <c r="L64" i="14" s="1"/>
  <c r="N64" i="14" s="1"/>
  <c r="M63" i="14"/>
  <c r="L63" i="14" s="1"/>
  <c r="N63" i="14" s="1"/>
  <c r="M62" i="14"/>
  <c r="L62" i="14" s="1"/>
  <c r="N62" i="14" s="1"/>
  <c r="M61" i="14"/>
  <c r="L61" i="14" s="1"/>
  <c r="N61" i="14" s="1"/>
  <c r="M57" i="14"/>
  <c r="L57" i="14" s="1"/>
  <c r="N57" i="14" s="1"/>
  <c r="M50" i="14"/>
  <c r="L50" i="14" s="1"/>
  <c r="N48" i="14"/>
  <c r="M48" i="14"/>
  <c r="N46" i="14"/>
  <c r="M46" i="14"/>
  <c r="N44" i="14"/>
  <c r="M44" i="14"/>
  <c r="M43" i="14"/>
  <c r="L43" i="14" s="1"/>
  <c r="N42" i="14"/>
  <c r="M42" i="14"/>
  <c r="N41" i="14"/>
  <c r="M41" i="14"/>
  <c r="N40" i="14"/>
  <c r="M40" i="14"/>
  <c r="N33" i="14"/>
  <c r="M33" i="14"/>
  <c r="N30" i="14"/>
  <c r="M30" i="14"/>
  <c r="N29" i="14"/>
  <c r="M29" i="14"/>
  <c r="N28" i="14"/>
  <c r="M28" i="14"/>
  <c r="N27" i="14"/>
  <c r="M27" i="14"/>
  <c r="N26" i="14"/>
  <c r="M26" i="14"/>
  <c r="N25" i="14"/>
  <c r="M25" i="14"/>
  <c r="N24" i="14"/>
  <c r="M24" i="14"/>
  <c r="N89" i="14"/>
  <c r="M89" i="14"/>
  <c r="M232" i="14"/>
  <c r="L232" i="14" s="1"/>
  <c r="N232" i="14" s="1"/>
  <c r="M231" i="14"/>
  <c r="L231" i="14" s="1"/>
  <c r="N231" i="14" s="1"/>
  <c r="M230" i="14"/>
  <c r="L230" i="14" s="1"/>
  <c r="N230" i="14" s="1"/>
  <c r="M229" i="14"/>
  <c r="L229" i="14" s="1"/>
  <c r="N229" i="14" s="1"/>
  <c r="M228" i="14"/>
  <c r="L228" i="14" s="1"/>
  <c r="N228" i="14" s="1"/>
  <c r="M227" i="14"/>
  <c r="L227" i="14" s="1"/>
  <c r="N227" i="14" s="1"/>
  <c r="M226" i="14"/>
  <c r="L226" i="14" s="1"/>
  <c r="N226" i="14" s="1"/>
  <c r="M225" i="14"/>
  <c r="L225" i="14" s="1"/>
  <c r="N225" i="14" s="1"/>
  <c r="M224" i="14"/>
  <c r="L224" i="14" s="1"/>
  <c r="N224" i="14" s="1"/>
  <c r="M223" i="14"/>
  <c r="L223" i="14" s="1"/>
  <c r="N223" i="14" s="1"/>
  <c r="M222" i="14"/>
  <c r="L222" i="14" s="1"/>
  <c r="N222" i="14" s="1"/>
  <c r="M221" i="14"/>
  <c r="L221" i="14" s="1"/>
  <c r="N221" i="14" s="1"/>
  <c r="M219" i="14"/>
  <c r="L219" i="14" s="1"/>
  <c r="N219" i="14" s="1"/>
  <c r="M220" i="14"/>
  <c r="L220" i="14" s="1"/>
  <c r="N220" i="14" s="1"/>
  <c r="L447" i="14" l="1"/>
  <c r="M447" i="14"/>
  <c r="N211" i="14"/>
  <c r="K8" i="10"/>
  <c r="M8" i="10" s="1"/>
  <c r="N8" i="10" s="1"/>
  <c r="K9" i="10"/>
  <c r="M9" i="10" s="1"/>
  <c r="N9" i="10" s="1"/>
  <c r="K10" i="10"/>
  <c r="M10" i="10" s="1"/>
  <c r="N10" i="10" s="1"/>
  <c r="K11" i="10"/>
  <c r="M11" i="10" s="1"/>
  <c r="N11" i="10" s="1"/>
  <c r="K12" i="10"/>
  <c r="M12" i="10" s="1"/>
  <c r="N12" i="10" s="1"/>
  <c r="K13" i="10"/>
  <c r="M13" i="10" s="1"/>
  <c r="N13" i="10" s="1"/>
  <c r="K14" i="10"/>
  <c r="M14" i="10" s="1"/>
  <c r="N14" i="10" s="1"/>
  <c r="K15" i="10"/>
  <c r="M15" i="10" s="1"/>
  <c r="N15" i="10" s="1"/>
  <c r="K16" i="10"/>
  <c r="M16" i="10" s="1"/>
  <c r="N16" i="10" s="1"/>
  <c r="K17" i="10"/>
  <c r="M17" i="10" s="1"/>
  <c r="N17" i="10" s="1"/>
  <c r="K18" i="10"/>
  <c r="M18" i="10" s="1"/>
  <c r="N18" i="10" s="1"/>
  <c r="K20" i="10"/>
  <c r="M20" i="10" s="1"/>
  <c r="N20" i="10" s="1"/>
  <c r="K21" i="10"/>
  <c r="M21" i="10" s="1"/>
  <c r="N21" i="10" s="1"/>
  <c r="K22" i="10"/>
  <c r="M22" i="10" s="1"/>
  <c r="N22" i="10" s="1"/>
  <c r="K24" i="10"/>
  <c r="M24" i="10" s="1"/>
  <c r="N24" i="10" s="1"/>
  <c r="K25" i="10"/>
  <c r="M25" i="10" s="1"/>
  <c r="N25" i="10" s="1"/>
  <c r="K26" i="10"/>
  <c r="M26" i="10" s="1"/>
  <c r="N26" i="10" s="1"/>
  <c r="K27" i="10"/>
  <c r="M27" i="10" s="1"/>
  <c r="N27" i="10" s="1"/>
  <c r="K28" i="10"/>
  <c r="M28" i="10" s="1"/>
  <c r="N28" i="10" s="1"/>
  <c r="K29" i="10"/>
  <c r="M29" i="10" s="1"/>
  <c r="N29" i="10" s="1"/>
  <c r="K30" i="10"/>
  <c r="M30" i="10" s="1"/>
  <c r="N30" i="10" s="1"/>
  <c r="K33" i="10"/>
  <c r="M33" i="10" s="1"/>
  <c r="N33" i="10" s="1"/>
  <c r="K34" i="10"/>
  <c r="M34" i="10" s="1"/>
  <c r="N34" i="10" s="1"/>
  <c r="K35" i="10"/>
  <c r="M35" i="10" s="1"/>
  <c r="N35" i="10" s="1"/>
  <c r="K36" i="10"/>
  <c r="M36" i="10" s="1"/>
  <c r="N36" i="10" s="1"/>
  <c r="K37" i="10"/>
  <c r="M37" i="10" s="1"/>
  <c r="N37" i="10" s="1"/>
  <c r="K38" i="10"/>
  <c r="M38" i="10" s="1"/>
  <c r="N38" i="10" s="1"/>
  <c r="K39" i="10"/>
  <c r="M39" i="10" s="1"/>
  <c r="N39" i="10" s="1"/>
  <c r="K40" i="10"/>
  <c r="M40" i="10" s="1"/>
  <c r="N40" i="10" s="1"/>
  <c r="K41" i="10"/>
  <c r="M41" i="10" s="1"/>
  <c r="N41" i="10" s="1"/>
  <c r="K42" i="10"/>
  <c r="M42" i="10" s="1"/>
  <c r="N42" i="10" s="1"/>
  <c r="K48" i="10"/>
  <c r="M48" i="10" s="1"/>
  <c r="N48" i="10" s="1"/>
  <c r="K49" i="10"/>
  <c r="M49" i="10" s="1"/>
  <c r="N49" i="10" s="1"/>
  <c r="K50" i="10"/>
  <c r="M50" i="10" s="1"/>
  <c r="N50" i="10" s="1"/>
  <c r="K51" i="10"/>
  <c r="M51" i="10" s="1"/>
  <c r="N51" i="10" s="1"/>
  <c r="K56" i="10"/>
  <c r="M56" i="10" s="1"/>
  <c r="N56" i="10" s="1"/>
  <c r="K57" i="10"/>
  <c r="M57" i="10" s="1"/>
  <c r="N57" i="10" s="1"/>
  <c r="K58" i="10"/>
  <c r="M58" i="10" s="1"/>
  <c r="N58" i="10" s="1"/>
  <c r="K59" i="10"/>
  <c r="M59" i="10" s="1"/>
  <c r="N59" i="10" s="1"/>
  <c r="K60" i="10"/>
  <c r="M60" i="10" s="1"/>
  <c r="N60" i="10" s="1"/>
  <c r="K75" i="10"/>
  <c r="M75" i="10" s="1"/>
  <c r="N75" i="10" s="1"/>
  <c r="K76" i="10"/>
  <c r="M76" i="10" s="1"/>
  <c r="N76" i="10" s="1"/>
  <c r="K77" i="10"/>
  <c r="M77" i="10" s="1"/>
  <c r="N77" i="10" s="1"/>
  <c r="K78" i="10"/>
  <c r="M78" i="10" s="1"/>
  <c r="N78" i="10" s="1"/>
  <c r="K81" i="10"/>
  <c r="M81" i="10" s="1"/>
  <c r="N81" i="10" s="1"/>
  <c r="K82" i="10"/>
  <c r="M82" i="10" s="1"/>
  <c r="N82" i="10" s="1"/>
  <c r="K83" i="10"/>
  <c r="M83" i="10" s="1"/>
  <c r="N83" i="10" s="1"/>
  <c r="K84" i="10"/>
  <c r="M84" i="10" s="1"/>
  <c r="N84" i="10" s="1"/>
  <c r="K85" i="10"/>
  <c r="M85" i="10" s="1"/>
  <c r="N85" i="10" s="1"/>
  <c r="M80" i="10"/>
  <c r="N80" i="10" s="1"/>
  <c r="M79" i="10"/>
  <c r="N79" i="10" s="1"/>
  <c r="M74" i="10"/>
  <c r="N74" i="10" s="1"/>
  <c r="M73" i="10"/>
  <c r="N73" i="10" s="1"/>
  <c r="M72" i="10"/>
  <c r="N72" i="10" s="1"/>
  <c r="M71" i="10"/>
  <c r="N71" i="10" s="1"/>
  <c r="M70" i="10"/>
  <c r="N70" i="10" s="1"/>
  <c r="M69" i="10"/>
  <c r="N69" i="10" s="1"/>
  <c r="M68" i="10"/>
  <c r="N68" i="10" s="1"/>
  <c r="M67" i="10"/>
  <c r="N67" i="10" s="1"/>
  <c r="M66" i="10"/>
  <c r="N66" i="10" s="1"/>
  <c r="M65" i="10"/>
  <c r="N65" i="10" s="1"/>
  <c r="M64" i="10"/>
  <c r="N64" i="10" s="1"/>
  <c r="M63" i="10"/>
  <c r="N63" i="10" s="1"/>
  <c r="M62" i="10"/>
  <c r="N62" i="10" s="1"/>
  <c r="M61" i="10"/>
  <c r="N61" i="10" s="1"/>
  <c r="M55" i="10"/>
  <c r="N55" i="10" s="1"/>
  <c r="M54" i="10"/>
  <c r="N54" i="10" s="1"/>
  <c r="M53" i="10"/>
  <c r="N53" i="10" s="1"/>
  <c r="M52" i="10"/>
  <c r="N52" i="10" s="1"/>
  <c r="M47" i="10"/>
  <c r="N47" i="10" s="1"/>
  <c r="M46" i="10"/>
  <c r="N46" i="10" s="1"/>
  <c r="M45" i="10"/>
  <c r="N45" i="10" s="1"/>
  <c r="M44" i="10"/>
  <c r="N44" i="10" s="1"/>
  <c r="M43" i="10"/>
  <c r="N43" i="10" s="1"/>
  <c r="M32" i="10"/>
  <c r="N32" i="10" s="1"/>
  <c r="M31" i="10"/>
  <c r="N31" i="10" s="1"/>
  <c r="M23" i="10"/>
  <c r="N23" i="10" s="1"/>
  <c r="M19" i="10"/>
  <c r="N19" i="10" s="1"/>
  <c r="M7" i="10"/>
  <c r="L122" i="10"/>
  <c r="I122" i="10"/>
  <c r="C122" i="10"/>
  <c r="G7" i="8"/>
  <c r="G6" i="8"/>
  <c r="B33" i="8"/>
  <c r="B32" i="8"/>
  <c r="B29" i="8"/>
  <c r="N447" i="14" l="1"/>
  <c r="M122" i="10"/>
  <c r="K122" i="10"/>
  <c r="N7" i="10"/>
  <c r="N122" i="10" s="1"/>
</calcChain>
</file>

<file path=xl/sharedStrings.xml><?xml version="1.0" encoding="utf-8"?>
<sst xmlns="http://schemas.openxmlformats.org/spreadsheetml/2006/main" count="2644" uniqueCount="622">
  <si>
    <t>Acquisition Date</t>
  </si>
  <si>
    <t>(All)</t>
  </si>
  <si>
    <t>Row Labels</t>
  </si>
  <si>
    <t>Sum of Acquisition Cost</t>
  </si>
  <si>
    <t>Sum of Acc Depreciation</t>
  </si>
  <si>
    <t>Sum of Depreciation This Period (Initial)</t>
  </si>
  <si>
    <t>Sum of Book Value</t>
  </si>
  <si>
    <t>Buildings</t>
  </si>
  <si>
    <t>Computer Equipment</t>
  </si>
  <si>
    <t>Machinery</t>
  </si>
  <si>
    <t>Magnets and Formwork/Klipform</t>
  </si>
  <si>
    <t>Tools</t>
  </si>
  <si>
    <t>Yard Equipment</t>
  </si>
  <si>
    <t>Grand Total</t>
  </si>
  <si>
    <t>FIXED ASSET REGISTER (Instant asset write off Category)</t>
  </si>
  <si>
    <t>Item</t>
  </si>
  <si>
    <t>Asset Name</t>
  </si>
  <si>
    <t xml:space="preserve">Quantity </t>
  </si>
  <si>
    <t>Description</t>
  </si>
  <si>
    <t>Supplier</t>
  </si>
  <si>
    <t>Asset No.</t>
  </si>
  <si>
    <t>Serial No.</t>
  </si>
  <si>
    <t>Acquisition Cost</t>
  </si>
  <si>
    <t>Useful Life (Years)</t>
  </si>
  <si>
    <t>Salvage Value</t>
  </si>
  <si>
    <t>Acc Depreciation</t>
  </si>
  <si>
    <t>Depreciation This Period (Initial)</t>
  </si>
  <si>
    <t>Book Value</t>
  </si>
  <si>
    <t xml:space="preserve">Remarks </t>
  </si>
  <si>
    <t>No of Years Depreciation</t>
  </si>
  <si>
    <t>Motorola DP4400e Digital/ Analogue Portable radio</t>
  </si>
  <si>
    <t>TRANS COMMUNICATIONS</t>
  </si>
  <si>
    <t>807TSZ5049, 807TTM7812, 807TSZ4911, 807TUB5845, 807TSZ5042, 807TUV7315</t>
  </si>
  <si>
    <t>Written off 15/3/24</t>
  </si>
  <si>
    <t>Klingon Button Duo Magnet</t>
  </si>
  <si>
    <t>ACTECH</t>
  </si>
  <si>
    <t>Switch II+ Magnet</t>
  </si>
  <si>
    <t>150mm KLIPFORM A - 8m Lengths POWDER COATED</t>
  </si>
  <si>
    <t>180mm KLIPFORM  A - 8m length POWDER COATED</t>
  </si>
  <si>
    <t>200mm KLIPFORM A - 8m length POWDER COATED</t>
  </si>
  <si>
    <t>250mm KLIPFORM A - 8m length POWDER COATED</t>
  </si>
  <si>
    <t>300mm KLIPFORM A - 8m length POWDER COATED</t>
  </si>
  <si>
    <t>Max Re-Bar Twin Reel Tie Gun RB441 (77RB441-KIT)</t>
  </si>
  <si>
    <t>H38 Hydraulic Steel Cutting Machine(7GMSH38)</t>
  </si>
  <si>
    <t>Max Re-Bar Twin Reel Tie Gun RB611 (77RB611-KIT)</t>
  </si>
  <si>
    <t>B26 26mm Steel Bending Machine (7GMSB26)</t>
  </si>
  <si>
    <t>180mm KLIPFORM A - 8m Length Powdercoated BLUE</t>
  </si>
  <si>
    <t>$818 per unit</t>
  </si>
  <si>
    <t>200mm KLIPFORM A - 8m Length Powdercoated YELLOW</t>
  </si>
  <si>
    <t>$867 per unit</t>
  </si>
  <si>
    <t>250mm KLIPFORM A - 8m Length Powdercoated BLACK</t>
  </si>
  <si>
    <t>$1076.33 per unit</t>
  </si>
  <si>
    <t>300mm KLIPFORM A - 8m Length Powdercoated ORANGE</t>
  </si>
  <si>
    <t>$1575.81 per unit</t>
  </si>
  <si>
    <t>$465 per unit</t>
  </si>
  <si>
    <t>Max RB 441T Re-Bar Twin Reel Tie Gun (77RB441-KIT)</t>
  </si>
  <si>
    <t xml:space="preserve">DCA45-ESI Kubota Diesel Generator set </t>
  </si>
  <si>
    <t>AUSTRALIAN POWER COMPANY</t>
  </si>
  <si>
    <t>Kubota SHINDAWA Silenced Industrial Generator Model: DGM250MKII Rental Specification</t>
  </si>
  <si>
    <t xml:space="preserve">                               D13755-000296</t>
  </si>
  <si>
    <t>Used Bobcat S150 Skid Steer Loader Yr 2003</t>
  </si>
  <si>
    <t>CLARK EQUIPMENT SALES PTY LTD</t>
  </si>
  <si>
    <t xml:space="preserve">20 Foot General Purpose Used Container, 20GP Cargoworthy </t>
  </si>
  <si>
    <t>GATEWAY CONTAINER PARK PTY LTD</t>
  </si>
  <si>
    <t>40 Foot High Cube Used container, 40HC Cargoworthy Used wind &amp; water Tight</t>
  </si>
  <si>
    <t>20 Foot General Purpose Used Container, 20GP USED Painted Surfmist</t>
  </si>
  <si>
    <t>40 Foot High Cube Used Container, 40HC Cargoworthy Used</t>
  </si>
  <si>
    <t>20HC Cargoworthy Used Container - 3201767 Wind &amp; Water Tight</t>
  </si>
  <si>
    <t>SECOND HAND SCM SI320 Sliding Bed Panel  Saw</t>
  </si>
  <si>
    <t>GREGORY MACHINERY PTY LTD</t>
  </si>
  <si>
    <t>PANELSAW PS-1810 240V #1x2</t>
  </si>
  <si>
    <t>HARE &amp; FORBES PTY LTD</t>
  </si>
  <si>
    <t>Diamond coring tool DD 30-W 230V</t>
  </si>
  <si>
    <t>HILTI</t>
  </si>
  <si>
    <t xml:space="preserve">TE 60-A36 CORDLESS ROTARY HAMMER </t>
  </si>
  <si>
    <t>DD-WMS 100 WATER MANAGEMENT SYSTEM</t>
  </si>
  <si>
    <t>TE 30-A36 CORDLESS ROTARY HAMMER</t>
  </si>
  <si>
    <t>KOBELCO SK135 Excavator  Yr 2011</t>
  </si>
  <si>
    <t>LUKA TRANSPORT PTY LTD</t>
  </si>
  <si>
    <t xml:space="preserve">                                        YY06 16213</t>
  </si>
  <si>
    <t>Written off 9/7/2025 - Condemned by WorkSafe</t>
  </si>
  <si>
    <t>Plate 3 - Machined Back Blocks with Holes</t>
  </si>
  <si>
    <t>MCMILLAN ENGINEERING GROUP</t>
  </si>
  <si>
    <t>$2450 per unit</t>
  </si>
  <si>
    <t>IHS 200t 4" Load Return Cylinder with Lock Ring and
Swivel Load Cap</t>
  </si>
  <si>
    <t>$3150 per unit</t>
  </si>
  <si>
    <t>Hydraulic Power Unit designed for Stressbeds with Mono
Jack Stressing and Multi Destress.</t>
  </si>
  <si>
    <t>SK135 1600MM SIEVE BUCKET 80X80 BOCE</t>
  </si>
  <si>
    <t>MELBOURNE TRACTORS</t>
  </si>
  <si>
    <t xml:space="preserve">Relocatable Container Dome Shelter - Premium Grade Container Dome 12m wide x 12m long x 3.6m apex </t>
  </si>
  <si>
    <t>QLD SHADESHELTERS PTY LTD</t>
  </si>
  <si>
    <t>Lenovo Thinkpad i7 CPU, 16GB Ram, 512SSD, 15.6” Display
NVIDIA Quadro T2000 4GB graphics card 3 year warranty</t>
  </si>
  <si>
    <t>RUBIKS IT</t>
  </si>
  <si>
    <t>Lenovo Yoga
Ryzen 5 2.3/4.2Ghz, 16GB ram, 512GB SSD, 13.3” display AMD</t>
  </si>
  <si>
    <t>Written off 15/3/2024</t>
  </si>
  <si>
    <t>Lenovo i5, 8GB Ram, 256GB SSD, 15.6”</t>
  </si>
  <si>
    <t>10 MM PLATES 3000.0 X 9000.0  AS/NZS3678 GR250</t>
  </si>
  <si>
    <t>INFRABUILD TRADING PTY LIMITED</t>
  </si>
  <si>
    <t>$4682.53 per unit</t>
  </si>
  <si>
    <t>$4877.42 per unit</t>
  </si>
  <si>
    <t>10MM GR 250</t>
  </si>
  <si>
    <t>TOTAL STEEL OF AUSTRALIA PTY LTD</t>
  </si>
  <si>
    <t>$5485.23 per unit</t>
  </si>
  <si>
    <t xml:space="preserve">10 MM PLATES 3000.0 X 9000.0 </t>
  </si>
  <si>
    <t>$5406.00 per unit</t>
  </si>
  <si>
    <t>6MM GR250</t>
  </si>
  <si>
    <t>$2255.19 per unit</t>
  </si>
  <si>
    <t>Milwaukee M18 5.0Ah FUEL 6 Piece BRUSHLESS Combo Kit M18FPP6F2-503B</t>
  </si>
  <si>
    <t>TRADE TOOLS PTY LTD</t>
  </si>
  <si>
    <t>Renegade Industrial 4000PSI 13HP 15LPM Pressure Cleaner GX390 Honda 1.5 LPM Air Pump - PRO4000H</t>
  </si>
  <si>
    <t>Written of 15/3/2024</t>
  </si>
  <si>
    <t>FLXEV506VIBRATOR SHAFT HARD NOSE 50MM</t>
  </si>
  <si>
    <t>LYNDONS PTY LTD</t>
  </si>
  <si>
    <t>FLXAVE2062POWER UNIT 5.5HP HONDA DP4HE</t>
  </si>
  <si>
    <t>DEMB10880FLOOR GRINDER 220-240V HUSQVAR</t>
  </si>
  <si>
    <t>FLXTM40TROWEL MACHINE FLEXTOOL 40"</t>
  </si>
  <si>
    <t>FLXTM24PTROWEL MACHINE FLEXTOOL PRO-FI</t>
  </si>
  <si>
    <t>MFTM34TROWEL MACHINE 34 INCH MASTER</t>
  </si>
  <si>
    <t>TROWEL MACHINE MUL W/B 36"</t>
  </si>
  <si>
    <t>TROWEL MACHINE - MUL W/B 24" - 5.5 HP HONDA</t>
  </si>
  <si>
    <t>VIBRATOR HANDY VIBE MASTER FINISH HONDA 4STR</t>
  </si>
  <si>
    <t xml:space="preserve"> ADVANCE II 250 REMOTE-15/32A  WELDER</t>
  </si>
  <si>
    <t>BOC</t>
  </si>
  <si>
    <t>Written off 21/8/2023 as blew up</t>
  </si>
  <si>
    <t>MANUFACTURE CHAIN SLING GRADE 100 - 10MM X 4LEG X 6.4M COMES WITH CLEVIS GRAB SHORTENERS OFF 3 LINKS AND CLEVIS SELF LOCKING HOOKS S/N ALS4212</t>
  </si>
  <si>
    <t>ABSOLUTE LIFTING &amp; SAFETY</t>
  </si>
  <si>
    <t>CHAIN SLING G100 16MM 2 LEG 8M LEG LENGTH C/W LARGE MASTERLINK, CLEVIS GRAB SHORTENERS OFF 4
LINKS &amp; CLEVIS SELF LOCKING HOOKS.</t>
  </si>
  <si>
    <t>SNATCH BLOCK C/W SHACKLE 15T TO SUIT 19-22MM WIRE ROPE SHEAVE DIA 250MM</t>
  </si>
  <si>
    <t>MOD12 Spreader Beam consisting of: • 2 x End Units • 2 x Drop Links • 1 x 0.5m Strut • 1 x 0.75m Strut • 1 x 1m Strut • 3 x 1.5m Struts</t>
  </si>
  <si>
    <t>CHAIN SLING 8MM X 4MTR X 4 LEG GRADE 80 C/W MULTI HEAD RING, WITH 4 LINKS GRAB SHORTENERS AND CLEVIS SAFETY HOOKS WLL @ 60 DEGREES: 3500KG S/N</t>
  </si>
  <si>
    <t>Chain Sling G100 10mm 2 Leg 8M Leg Length c/w Clevis grab hooks off 4 links and Clevis self locking hooks</t>
  </si>
  <si>
    <t>$1025 per unit</t>
  </si>
  <si>
    <t>Chain Sling G100 16mm 2 Leg 8M Leg Length c/w Clevis grab hooks off 4 links and Clevis self locking hooks</t>
  </si>
  <si>
    <t>$2390 per unit</t>
  </si>
  <si>
    <t>DeWALT 18V 5.0Ah 10 Piece Combo Kit</t>
  </si>
  <si>
    <t>PLASTIC SOLUTIONS AUSTRALIA PTY LTD</t>
  </si>
  <si>
    <t xml:space="preserve">Paslode IM250S (B20710) Impulse 16/14Ga 250S Bradder Finish Nailer Combo Kit </t>
  </si>
  <si>
    <t>Loncin 12KVA Generator 19HP 10500 Watts Max Elec Start 48L Tank 160KG</t>
  </si>
  <si>
    <t>PSA LiftMX Clutch - 10 Tonne</t>
  </si>
  <si>
    <t>$580 per unit</t>
  </si>
  <si>
    <t>PSA LiftMX15 Safety Clutch - 15 Tonne</t>
  </si>
  <si>
    <t>$1050 per unit</t>
  </si>
  <si>
    <t>PANEL RACKS</t>
  </si>
  <si>
    <t>LTE STRUCTURES</t>
  </si>
  <si>
    <t>Refer Workings worksheet</t>
  </si>
  <si>
    <t>"A" FRAMES</t>
  </si>
  <si>
    <t>$4,928.64 per unit</t>
  </si>
  <si>
    <t>B/SAW BS-916A HAFCO 240V</t>
  </si>
  <si>
    <t>DIAMOND DC 32 WH 2000w Rebar Cutter</t>
  </si>
  <si>
    <t>EBAY - EDDIE</t>
  </si>
  <si>
    <t>TROWEL MACHINE 40" 9HP HONDA ENG</t>
  </si>
  <si>
    <t>$3,121.70 per unit</t>
  </si>
  <si>
    <t>TROWEL MACHINE FLEXTOOL PRO-FINISH 24"</t>
  </si>
  <si>
    <t>TROWEL MACHINE FLEXTOOL 34"</t>
  </si>
  <si>
    <t>TROWEL MACHINE FLEXTOOL PRO-FINISH 36"</t>
  </si>
  <si>
    <t>DeWALT 305MM 12" DOUBLE BEVEL SLIDE COMPOUND MITRE SAW</t>
  </si>
  <si>
    <t>SNATCH BLOCK SWIVEL SHACKLE WLL: 22 TON WITH 355MM DIAMETER SHEAVE - SUITS 28-32MM WIRE ROPE
DIAMETER</t>
  </si>
  <si>
    <t>$2525.00 per unit</t>
  </si>
  <si>
    <t>Chain Sling G100 26mm 2 Leg 8M Leg Length c/w Eye grab hooks off coupler plus 5 links and Eye self locking hooks</t>
  </si>
  <si>
    <t>Renegade Industrial 5.5 HP 500 LPM Air Compressor</t>
  </si>
  <si>
    <t>Cordl. combihammer TE 60-A36</t>
  </si>
  <si>
    <t>Lenovo ThinkPad P15</t>
  </si>
  <si>
    <t>Milwaukee M18 FUEL 230mm 9" Cut Off Saw Skin M18CO230-0</t>
  </si>
  <si>
    <t>TE 60-A36 + 3 x B36 9Ah Batt + 350 charg</t>
  </si>
  <si>
    <t>PORTABLE VIBRATOR 44MM HONDA-4STROKE VE44-59 FLXPF03000</t>
  </si>
  <si>
    <t>DeWALT 305MM 12" Double Bevel Slide Compound Mitre Saw Bonus - DWS780 XE</t>
  </si>
  <si>
    <t>$958.98 per unit</t>
  </si>
  <si>
    <t>$1439.12 per unit</t>
  </si>
  <si>
    <t>Renegade 5.0kW 11.1 HP Portable Generator</t>
  </si>
  <si>
    <t>DeWALT M Class 1400W 38L Dust Extractor Vacuum Vac</t>
  </si>
  <si>
    <t>Kit TE 800-AVR Concrete Demolition Hammer</t>
  </si>
  <si>
    <t>Lenovo Yoga G2</t>
  </si>
  <si>
    <t>For Lenice Cover</t>
  </si>
  <si>
    <t>Max RB 441T Re-Bar Twin Reel Tie Gun and Charger</t>
  </si>
  <si>
    <t xml:space="preserve">Max RB 441T Re-Bar Twin Reel Tie Gun + Tie Wire (25 boxes) </t>
  </si>
  <si>
    <t>ICARO C42 4HP Mechanical Cutter</t>
  </si>
  <si>
    <t>EPSON COLOURWORKS C6010A INKJET LABEL PRINTER cw CUTTER</t>
  </si>
  <si>
    <t>ALL ABOUT LABELS</t>
  </si>
  <si>
    <t>Renegade Industrial Diesel 6HP 400LPM Air Compressor 80L Tank 3 Cylinder Cast Iron Pump</t>
  </si>
  <si>
    <t>Perkins 25KVA Silenced Industrial Diesel
Generator
Model : PK 23T/45X</t>
  </si>
  <si>
    <t>AuSTRALIAN POWER COMPANY</t>
  </si>
  <si>
    <t>MOTOTRBO R7 400-527 4W</t>
  </si>
  <si>
    <t>865TYK1738, 865TYD0614</t>
  </si>
  <si>
    <t>$1355.80 per unit</t>
  </si>
  <si>
    <t xml:space="preserve">2007 Hino Dutro 300 White Traytop RWD </t>
  </si>
  <si>
    <t>EAST COAST TRUCK SALES PTY LTD</t>
  </si>
  <si>
    <t>JHFUU13H800001271</t>
  </si>
  <si>
    <t>Ttraded in for a Hyundai Tray truck 7/1/2025</t>
  </si>
  <si>
    <t>Samsung Tab A7 Lite 4G 32G</t>
  </si>
  <si>
    <t>Officeworks</t>
  </si>
  <si>
    <t>Lenovo L15 Laptop</t>
  </si>
  <si>
    <t>Samsung Galaxy S22 256G Black</t>
  </si>
  <si>
    <t>Milwaukee M18 5.0AH Fuel 2 PC Drill &amp; Grinder</t>
  </si>
  <si>
    <t>Dewalt Flexvolt 54V 6.0Ah M Class Dust Extractor Kit</t>
  </si>
  <si>
    <t>10MM GR 250 (FISHLANE??)</t>
  </si>
  <si>
    <t>$1,394.10 per unit</t>
  </si>
  <si>
    <t>BISALLOY 500 - 3100 X 10000MM PLATES</t>
  </si>
  <si>
    <t>CASA</t>
  </si>
  <si>
    <t>Renegade Industrial 35.8cc Honda Petrol Engine Concrete Vibrator</t>
  </si>
  <si>
    <t>Keyen replacement laptop- written off 11/2/2025</t>
  </si>
  <si>
    <t>GRINDER ANGLE 125MM 18V 2X6.0AH FUEL BRK 9000RPM PAD MILWAUKEE</t>
  </si>
  <si>
    <t>TOTAL TOOLS</t>
  </si>
  <si>
    <t>$465 each</t>
  </si>
  <si>
    <t>COMPRESSOR 319L/MIN 5.5HP 70L, PETROL, HONDA AIRMAC</t>
  </si>
  <si>
    <t>Iphone 13 Midnight</t>
  </si>
  <si>
    <t>OFFICEWORKS</t>
  </si>
  <si>
    <t>*Keyen</t>
  </si>
  <si>
    <t>Notebook ThinkPad X1 Yoga Gen 7</t>
  </si>
  <si>
    <t>LENOVO</t>
  </si>
  <si>
    <t>PF4B8RMA</t>
  </si>
  <si>
    <t>*Jason replacement laptop</t>
  </si>
  <si>
    <t>Renegade Industrial 33.5 CC Portable Concrete Vibrator</t>
  </si>
  <si>
    <t>Lenovo Thinkbook 15</t>
  </si>
  <si>
    <t>**Luke Chequer</t>
  </si>
  <si>
    <t>Ipad Mini</t>
  </si>
  <si>
    <t xml:space="preserve">  </t>
  </si>
  <si>
    <t>GRADE 100  AUSLIFT 4 leg x 8mm x 6mt with self- lockers / shorteners</t>
  </si>
  <si>
    <t>$1315 each</t>
  </si>
  <si>
    <t>GRADE 100  AUSLIFT 2 leg x 10mm x 6mt with self-lockers / shorteners</t>
  </si>
  <si>
    <t>$995 each</t>
  </si>
  <si>
    <t>GRADE 100  AUSLIFT 2 leg x 13mm x 6mt with self-lockers / shorteners</t>
  </si>
  <si>
    <t>$1570 each</t>
  </si>
  <si>
    <t>GRADE 100  AUSLIFT 2 leg x 16mm x 6mt with self-lockers / shorteners</t>
  </si>
  <si>
    <t>$1830 each</t>
  </si>
  <si>
    <t>IPAD 10GEN5</t>
  </si>
  <si>
    <t>??</t>
  </si>
  <si>
    <t>Lenovo Thinkpad</t>
  </si>
  <si>
    <t>Vadim Bendin</t>
  </si>
  <si>
    <t>Hand-held battery cut-off saw DSH 600-22</t>
  </si>
  <si>
    <t>Bisalloy 500 - 3100mm X 9000mm X 10 mm</t>
  </si>
  <si>
    <t>New Bobcat 60 inch sweeper</t>
  </si>
  <si>
    <t>B5OB00841</t>
  </si>
  <si>
    <t>LM2768,LM2442,LM2308,LM2772</t>
  </si>
  <si>
    <t>PSA LiftMX Clutch without shackle - 10 Tonne</t>
  </si>
  <si>
    <t>Renegade Industrial 33.5cc Portable Concrete Vibrator 45mm Shaft</t>
  </si>
  <si>
    <t>10,000 litres Round Water Tank</t>
  </si>
  <si>
    <t>DURAPLAS TWEED TANKS</t>
  </si>
  <si>
    <t>SR700/SR580 COMBO HELMET RESPIRATOR STANDARD BATT SUNSTROM</t>
  </si>
  <si>
    <t>ATOM</t>
  </si>
  <si>
    <t>COMPRESSOR TECO ELEC MOTOR 320L/MIN 3.2HP 75L 130PSI PUMA</t>
  </si>
  <si>
    <t>SAMSUNG GALAXY S8 G5</t>
  </si>
  <si>
    <t>LENOVO THINKPAD</t>
  </si>
  <si>
    <t>IPHONE 14</t>
  </si>
  <si>
    <t>Rudolph</t>
  </si>
  <si>
    <t>APPLE WATCH SE 44</t>
  </si>
  <si>
    <t>$580 each</t>
  </si>
  <si>
    <t>$480 each</t>
  </si>
  <si>
    <t>$927.69 each</t>
  </si>
  <si>
    <t>$1063.37 each</t>
  </si>
  <si>
    <t>$1539.86 each</t>
  </si>
  <si>
    <t>CRANEABLE LIFT BOX (GAL) (LTE TO PUT RED DECAL LTE 
LOGO) EAST WEST ENGINEERING MODEL - SMB1150LID 
HEAVY DUTY STORAGE BOX</t>
  </si>
  <si>
    <t>MAX TWIN TIER REBAR TIER 20-61MM  RB611T</t>
  </si>
  <si>
    <t>22C26071</t>
  </si>
  <si>
    <t>22C26009</t>
  </si>
  <si>
    <t>LMP-0250 LMP-0242 LMP-0240 LMP-0251</t>
  </si>
  <si>
    <t>ICARO C42 4Hp Mechanical Cutter</t>
  </si>
  <si>
    <t>71CC42</t>
  </si>
  <si>
    <t>307 304 315 309</t>
  </si>
  <si>
    <t>2592 2593 2517 2509</t>
  </si>
  <si>
    <t>ADVANCE III 425R REMOTE LCD</t>
  </si>
  <si>
    <t>VIBRATOR PETROL 9000RPM 4 STROKE HONDA, HANDYVIBE
MASTERFINISH</t>
  </si>
  <si>
    <t>FLEXTOOL 36IN PRO WALKBEHIND POWER TROWEL</t>
  </si>
  <si>
    <t>Premier Concrete Equipment</t>
  </si>
  <si>
    <t>2803.30 each</t>
  </si>
  <si>
    <t>MAX TWIN TIER REBAR TIER 20-40MM</t>
  </si>
  <si>
    <t>Hisense 50 inch 4K TV</t>
  </si>
  <si>
    <t>FORZA PRO 36' HONDA GX200 TROWEL MACHINE WITH ROTARY SCRUBBERS</t>
  </si>
  <si>
    <t>ALLCON GROUP PTY LTD</t>
  </si>
  <si>
    <t>DeWALT 18V 5.0Ah 2 Piece Combo Kit</t>
  </si>
  <si>
    <t>CKROF20 Clamshell gate , CKROF Concrete Kibble Laydown -Clamshell Gate</t>
  </si>
  <si>
    <t>PSA LiftMX Clutch Without Shackle - 10 Tonne</t>
  </si>
  <si>
    <t>Assorted formwork</t>
  </si>
  <si>
    <t>DOKA</t>
  </si>
  <si>
    <t>Assorted panels connecting parts and struts</t>
  </si>
  <si>
    <t>ThinkPad P16s Gen 2 Intel</t>
  </si>
  <si>
    <t>Mateo Delos Reyes</t>
  </si>
  <si>
    <t>Louise Hac Le</t>
  </si>
  <si>
    <t>CKROF20 Clamshell gate , CKROF Concrete Kibble Laydown - 
Clamshell Gate</t>
  </si>
  <si>
    <t xml:space="preserve"> CRANEABLE LIFT BOX (GAL) (LTE TO PUT RED DECAL LTE 
LOGO) EAST WEST ENGINEERING MODEL - SMB1150LID 
HEAVY DUTY STORAGE BOX C/W THIMBLE, SHACKLES TC</t>
  </si>
  <si>
    <t>VIBRATOR PETROL 9000RPM 4 STROKE HONDA, HANDYVIBE MASTERFINISH</t>
  </si>
  <si>
    <t>ThinkPad P16 Gen 2 13th Generation Intel i7-13700HX,
32GB DDR5 Ram, 1TB SSD, Nivida RTX2000 6GB GPU,
16" 4K Resolution.</t>
  </si>
  <si>
    <t>Chris Morrison</t>
  </si>
  <si>
    <t>FLEXTOOL PETROL DRIVE UNIT 5.5HP SUPER 4.1KW HONDA</t>
  </si>
  <si>
    <t>SAMSUNG GALAXY S23 FE 256GB GPH</t>
  </si>
  <si>
    <t>Heath</t>
  </si>
  <si>
    <t>SAMSUNG GALAXY S24 512GB BLAK.</t>
  </si>
  <si>
    <t>?</t>
  </si>
  <si>
    <t>James Moller</t>
  </si>
  <si>
    <t>Lenovo Thinkpad Yoga i7 13th Gen CPU, 16GB RAM,
512GB SSD, Touch screen, 4G LTE, 14" Display,</t>
  </si>
  <si>
    <t>Shaya Treasure</t>
  </si>
  <si>
    <t>STILFORD 4 DOOR LOCKER</t>
  </si>
  <si>
    <t>CIGWELD Transmig 355 Compact Plant Welding system</t>
  </si>
  <si>
    <t>Metro Welder Services</t>
  </si>
  <si>
    <t>SPANSET MAGNUM PLUS ROUND SLING 20T X 6M</t>
  </si>
  <si>
    <t>WP-NC2RA Crane Cage + Roof (6 Person) Assembled - East
West Engineering</t>
  </si>
  <si>
    <t>Intel NUC i5 11th Gen CPU, 16GB ram, 500GB SSD m.2</t>
  </si>
  <si>
    <t>Wall computer - production office</t>
  </si>
  <si>
    <t>BLAUPNKT 55IN 4K UHD GOOGLE TV</t>
  </si>
  <si>
    <t>CHAIN SLING ASSEMBLY - 16MM G100, 2 LEG 6MTR
c/w 4 LINK CLEVIS GRABS &amp; CLEVIS SELF LOCKING
HOOKS, TESTED &amp; NATA CERTIFIED</t>
  </si>
  <si>
    <t>SAMSUNG GALXY S23 FE 128GB GPH</t>
  </si>
  <si>
    <t>IPHONE 15 PRO WHITE 256G</t>
  </si>
  <si>
    <t>ThinkPad P16 Gen 2 13th Generation Intel i7 CPU, 16GB</t>
  </si>
  <si>
    <t>Annie Cacau</t>
  </si>
  <si>
    <t>Lenovo i5 13th Gen, 16GB ram, 512GB</t>
  </si>
  <si>
    <t>Ben Pascoe</t>
  </si>
  <si>
    <t>Control  for CNC Mac</t>
  </si>
  <si>
    <t>Concrete Kibble</t>
  </si>
  <si>
    <t>NEW IMPACT CNC ROUTER MACHINE - MOD TORNADO 11 M</t>
  </si>
  <si>
    <t>Signs Essentials</t>
  </si>
  <si>
    <t>PSA LiftMX Safety Clutch - 10 Tonne
LM2094 LM2086 LM2152 LM2072</t>
  </si>
  <si>
    <t>$785 each</t>
  </si>
  <si>
    <t>NEW ENFORCER WSBSPE15-01PBXE-300/2 WALKIE STACKER</t>
  </si>
  <si>
    <t>Fork Force Group</t>
  </si>
  <si>
    <t>S2303052</t>
  </si>
  <si>
    <t>PSA LiftMX Safety Clutch - 10 Tonne</t>
  </si>
  <si>
    <t>COMPRESSOR TECO ELEC MOTOR 280L/MIN 3.0HP 60L
145PSI PUMA</t>
  </si>
  <si>
    <t xml:space="preserve">COMPRESSED AIR DRYER 600L/MIN SUIT 5.5HP
COMPRESSOR FUSHENG </t>
  </si>
  <si>
    <t>Punch &amp; Shear IW1655DH Sunrise Machinery set</t>
  </si>
  <si>
    <t>Hare &amp; Forbes Machinery House</t>
  </si>
  <si>
    <t>Trowel Machine - Forza Pro 36" Honda GX200</t>
  </si>
  <si>
    <t>$2400 each</t>
  </si>
  <si>
    <t xml:space="preserve">Compressor Teco Electric Motor 320L/Min 3.2 HP75 L </t>
  </si>
  <si>
    <t>10T Edge Lift Cluthches with 16MM G100 3M Chain</t>
  </si>
  <si>
    <t>DRILL MAGNETIC BASE 75MM 1650W 3MT 110MM DOC,
PRO 75 HOLEMAKER</t>
  </si>
  <si>
    <t>VIBRATOR PETROL 9000RPM 4 STROKE HONDA,
POKERVIBE MASTERFINISH</t>
  </si>
  <si>
    <t>SAW MITRE COMP-GL 305MM 2000W 104X335MM BRK
LSR DBL +GTA3800 BOSCH</t>
  </si>
  <si>
    <t>CKROF20 Clamshell gate , CKROF Concrete Kibble Laydown -
Clamshell Gate</t>
  </si>
  <si>
    <t>SAW TABLE 254MM 1800W 460X79MM GTS10J + GTA600
BOSCH</t>
  </si>
  <si>
    <t>BOC SMOOTHARC 180 MIG LCD 10A c/w TORCH COMPLETE ABIMIG AT355LW 4M</t>
  </si>
  <si>
    <t>IHS 50T 4in Solid Safe Ram</t>
  </si>
  <si>
    <t>$1150 each</t>
  </si>
  <si>
    <t>IHS PE554 Stressing Pump with Bleed Down</t>
  </si>
  <si>
    <t>$4280 each</t>
  </si>
  <si>
    <t>500T Lifting Cylinders and Hydraulic Power Unit</t>
  </si>
  <si>
    <t>400L Reservoir Fully Large LED Digital Display for Loads</t>
  </si>
  <si>
    <t>$21,888 each</t>
  </si>
  <si>
    <t>IHS 500T 2in Stroke Load Return Safe Ram</t>
  </si>
  <si>
    <t>$5054.37 each</t>
  </si>
  <si>
    <t>Stillage for 4 500t Cylinders to allow for storage</t>
  </si>
  <si>
    <t>1680 each</t>
  </si>
  <si>
    <t>Assorted formwork panels, props and accessories</t>
  </si>
  <si>
    <t>Assorted cube formwork equipment</t>
  </si>
  <si>
    <t>Assorted DOKA panels</t>
  </si>
  <si>
    <t>35t hoist inverter</t>
  </si>
  <si>
    <t>CRANEMAINTAN</t>
  </si>
  <si>
    <t>FLX PROFINSH TROWEL W/B PETROL 24</t>
  </si>
  <si>
    <t>Y2310085</t>
  </si>
  <si>
    <t>FLX PROFINSH TROWEL W/B PETROL 24 S</t>
  </si>
  <si>
    <t>Y2310019</t>
  </si>
  <si>
    <t>NEW MINI SUNWARD 5T CRAWLER CRANE  2024 Mod: SWTC5D</t>
  </si>
  <si>
    <t>GLEASON CRANES SALES AND RENTALS GROUP PTY LTD</t>
  </si>
  <si>
    <t>RIGGING BOX 602 - CW SET</t>
  </si>
  <si>
    <t>RIGGING BOX 601 - CW SET</t>
  </si>
  <si>
    <t>Assorted DOKA panels and accessories</t>
  </si>
  <si>
    <t>CHAIN BLOCK 2T X 6M KITO M3 (47882) MADE IN JAPAN</t>
  </si>
  <si>
    <t>$935 each</t>
  </si>
  <si>
    <t>MANUFACTURE CHAIN SLING GRADE 100 - 22MM 1LEG 1.2M CUT CHAIN COMES WITH 25 TON SCREW PIN BOW SHACKLE AND CLEVIS GRAB HOOK OFF 3 LINKS AT TOP &amp;</t>
  </si>
  <si>
    <t>$1225 each</t>
  </si>
  <si>
    <t>20 Series Pin Head Lifting Clutch</t>
  </si>
  <si>
    <t>$1,108-80 each</t>
  </si>
  <si>
    <t>One unit Cummins 250/275KVA Industrial Diesel Generator Model: 223-DFAC</t>
  </si>
  <si>
    <t>G00A008156</t>
  </si>
  <si>
    <t>Traded in for DENYO DCA-100 USI 80KVA</t>
  </si>
  <si>
    <t>COMPLETE SHINDAIWADGW420 DIESEL WELDER set</t>
  </si>
  <si>
    <t>South Pacific Welding</t>
  </si>
  <si>
    <t>M20 ORBIPLATE BOLT KIT HOT DIP GALVANISED</t>
  </si>
  <si>
    <t>ITW</t>
  </si>
  <si>
    <t>$31.50 each</t>
  </si>
  <si>
    <t>100 x 50 PF CHANNEL 9M</t>
  </si>
  <si>
    <t>$143.80 each</t>
  </si>
  <si>
    <t>BROBO SA 350 SEMI AUTO COLDSAW c/w conveyor and roller</t>
  </si>
  <si>
    <t>T127 Flat Top 12 X 7 Trailer</t>
  </si>
  <si>
    <t>Stonegate International</t>
  </si>
  <si>
    <t>55 TON LOAD CELL RADIO LINK PLUS (RLP55T)</t>
  </si>
  <si>
    <t>COMPRESSOR TECO ELEC MOTOR 200L/MIN 2.2HP 60L
130PSI PUMA</t>
  </si>
  <si>
    <t>Genelite 7.5KVA Generator 6KW</t>
  </si>
  <si>
    <t>Flextool Honda Powered Portable Vibrator 44mm</t>
  </si>
  <si>
    <t>Complete  Motorola R7 400-527 Enable comm system</t>
  </si>
  <si>
    <t>NN-IPHONE 15 PLUS 256GB BLCK</t>
  </si>
  <si>
    <t xml:space="preserve">
20 Series Pin Head Lifting Clutch</t>
  </si>
  <si>
    <t>PL350 Plate 5mm Assorted-16 off - 2050mm x 6000mm Rectangles</t>
  </si>
  <si>
    <t>$1,589-13 each</t>
  </si>
  <si>
    <t>3.2m Screed + Honda GX160 Vibrating
Unit</t>
  </si>
  <si>
    <t>4.2m Screed + Honda GX160 Vibrating
Unit</t>
  </si>
  <si>
    <t>$146.50 each</t>
  </si>
  <si>
    <t>Complete Unit - FELDER CIRCULAR SAW K940 x motion</t>
  </si>
  <si>
    <t>Felder Group Australia</t>
  </si>
  <si>
    <t>Lenovo Thinkbook</t>
  </si>
  <si>
    <t>Used 20 Foot High Cube 20HC USED Cargo Worthy</t>
  </si>
  <si>
    <t>10 Foot General Purpose New, 10ft High Cube (9'6High)
New Build 2023 Model- TIGU1961777</t>
  </si>
  <si>
    <t xml:space="preserve">Round 5675 lites Round Water Tank </t>
  </si>
  <si>
    <t>Complete set - MOD 70 x 10m MODULAR SPREADER BAR,</t>
  </si>
  <si>
    <t>ROUND SLING 30TON ORANGE 10MTR CODE 903100</t>
  </si>
  <si>
    <t>$665 each</t>
  </si>
  <si>
    <t>ROUND SLING 30 TON ORANGE 6MTR CODE 903060</t>
  </si>
  <si>
    <t>$585 each</t>
  </si>
  <si>
    <t>Cube Rotators in Giflo F800 Steel</t>
  </si>
  <si>
    <t>TRIGONOMICS PTY LTD</t>
  </si>
  <si>
    <t>MCWEL Kubota MG25S-K 20 KVA Silenced Diesel Generator</t>
  </si>
  <si>
    <t>WASP DIESEL PTY LTD</t>
  </si>
  <si>
    <t>MCWEL Kubota MG45S-K 37.5 KVA Silenced Diesel Generator</t>
  </si>
  <si>
    <t>Hydraulic Power Unit  for Cube Rotator</t>
  </si>
  <si>
    <t>PL350 Plate 5mm Assorted</t>
  </si>
  <si>
    <t>$1534.09 each</t>
  </si>
  <si>
    <t>Wire Rope Sling 20mm Single Leg 6m 35 x 7 1960 End Fitting A:Thimble Eye End Fitting B: Thimble Eye WLL 7200kg Direct S/</t>
  </si>
  <si>
    <t>ICARO P42 4Hp Bender</t>
  </si>
  <si>
    <t>DENYO DCA-100 USI 80KVA Ultra-Silent Diesel Generator</t>
  </si>
  <si>
    <t>5054.4 each</t>
  </si>
  <si>
    <t>Stillage for 4 500t Cylinders to allow for storage, forklift
and cranage</t>
  </si>
  <si>
    <t>$1690 each</t>
  </si>
  <si>
    <t>LENOVO ThinkCentre Tiny Desktop</t>
  </si>
  <si>
    <t>Site office Calendar screen</t>
  </si>
  <si>
    <t>Roborigger Unit ARM1500-50t</t>
  </si>
  <si>
    <t>Roborigger International Pty Ltd</t>
  </si>
  <si>
    <t>Cube cylinders</t>
  </si>
  <si>
    <t>$15,430 each</t>
  </si>
  <si>
    <t>Complete set 50 T SHEAVE &amp; ROPE</t>
  </si>
  <si>
    <t>MOD 70 @ 10M SPREADER BEAM WITH 55T &amp; 35T BOW SHACKLES</t>
  </si>
  <si>
    <t>SNATCH BLOCK WITH SHACKLE HEAD 50 TON 24" SUITS 44-
50MM STEEL ROPE CODE 140150</t>
  </si>
  <si>
    <t>One unit MCWEL Kubota MG25S-K 20KVA Silenced Diesel Generator</t>
  </si>
  <si>
    <t>Lifting Beam</t>
  </si>
  <si>
    <t>Balustrades Brackets</t>
  </si>
  <si>
    <t>Precast Instal</t>
  </si>
  <si>
    <t>10 Series Pin Head Lifting Clutch LC10-269</t>
  </si>
  <si>
    <t>MANUFACTURE OF CHAIN SLING ASSEMBLY - 20MM G100,2 LEG 8MTR c/w 3 LINK CLEVIS GRABS &amp; CLEVIS SELF LOCKING HOOKS</t>
  </si>
  <si>
    <t>CHAIN SLING 10MM X 8MTR X 4 LEG GRADE 100 C/W HEAD</t>
  </si>
  <si>
    <t>CHAIN SLING 13MM X 8MTR X 2 LEG GRADE 100 C/W</t>
  </si>
  <si>
    <t>CHAIN SLING 16MM X 8MTR X 2 LEG GRADE 100 C/W</t>
  </si>
  <si>
    <t>FLX POWER TRWL W/BEHIND PETROL 24IN PRO</t>
  </si>
  <si>
    <t>J051024</t>
  </si>
  <si>
    <t>J051030</t>
  </si>
  <si>
    <t>DRILL GEARED GHD-30V 3MT HAFCO</t>
  </si>
  <si>
    <t>Renegade Industrial 3.2HP 310LPM Air Compressor 75L 3 Cylinder Cast Iron Pump</t>
  </si>
  <si>
    <t>ThinkPad P16s Lenovo Thinkpad i7-13th gen CPU, 16GB
DDR5, 512GB SSD, 16” Display, 3 years warranty Nvidia
RTX A500 4GB</t>
  </si>
  <si>
    <t>Ronald Tayag</t>
  </si>
  <si>
    <t>Lenovo Thinkbook i5-13th gen CPU, 16GB ram, 512GB</t>
  </si>
  <si>
    <t>Phill Mackrell &amp; Jarrod Biggs</t>
  </si>
  <si>
    <t>Custom multi point lifting
beam WLL 16 Tonne x 3m to 6m with low profile centre
connection lift point.</t>
  </si>
  <si>
    <t>DRILL MAGNETIC 19MM 1200W DOC 50MM LOW PROFILE ROTABROACH</t>
  </si>
  <si>
    <t>175mm KLIPFORM A - 8m Length Powdercoated GREY</t>
  </si>
  <si>
    <t>$713.19 each</t>
  </si>
  <si>
    <t>$1,063.37 each</t>
  </si>
  <si>
    <t>IHS PE554 Stressing Pump with Bleed Down, Male Gauge QAC and Female QA Couplers.</t>
  </si>
  <si>
    <t>Enforcer 1.6T Battery Electric Walkie Reach Stacke</t>
  </si>
  <si>
    <t>MOTOTRBO R7 400-527 4W Enable</t>
  </si>
  <si>
    <t>S/N: 865EAUN914, 865EAUP334, 865EAUP341, 865EAUP473</t>
  </si>
  <si>
    <t>1355.80 per unit</t>
  </si>
  <si>
    <t>S/N: 865EAUN650, 865EAUN655, 865EAUN961, 865EAUP435,865EAUP483, 865EAUP448</t>
  </si>
  <si>
    <t>NN-LENOVO IP SLIM 5 16/1TB U5 NB</t>
  </si>
  <si>
    <t>Laptop</t>
  </si>
  <si>
    <t>LE83DC003J</t>
  </si>
  <si>
    <t>Chiller Water Bubbler/Carafe Filtered Stainless 140GPH ChillMaster Zip</t>
  </si>
  <si>
    <t>$2699.69 each</t>
  </si>
  <si>
    <t xml:space="preserve">PL250 Plate 8mm Assorted </t>
  </si>
  <si>
    <t>for crane  bog mat- excluding fabrication $30K  per tonne</t>
  </si>
  <si>
    <t>Round Sling 50T Orange 8M Code:905080</t>
  </si>
  <si>
    <t>$1062 each</t>
  </si>
  <si>
    <t>R/B Rocam 4S Multi Media 65m W/30mm Cam</t>
  </si>
  <si>
    <t>REECE</t>
  </si>
  <si>
    <t>G100 - CHAIN SLING 16MM X 6MTR X 2 LEG GRADE T
ALLOY C/W EYE GRAB SHORTENERS (ON 3 LINKS)</t>
  </si>
  <si>
    <t>IPHONE 16 PRO 256GB WH</t>
  </si>
  <si>
    <t>Phone</t>
  </si>
  <si>
    <t>Birko Pie Warmer 1040090 50 Pies Solid Doors</t>
  </si>
  <si>
    <t>$836.69 Each</t>
  </si>
  <si>
    <t>4X OUTRIGGER PADS AS PER QUOTE</t>
  </si>
  <si>
    <t>TRANSBLAST</t>
  </si>
  <si>
    <t>997.50 Each</t>
  </si>
  <si>
    <t xml:space="preserve">The Master 240 Duo  - Fume extraction unit </t>
  </si>
  <si>
    <t>APPLEAIR</t>
  </si>
  <si>
    <t>Rectangular hollow painted steel for A FRAMES</t>
  </si>
  <si>
    <t>VULCAN</t>
  </si>
  <si>
    <t>A FRAMES G250</t>
  </si>
  <si>
    <t>IPHONE 14 128GB MN</t>
  </si>
  <si>
    <t>Doka floor prop Eurex 20 eco 350</t>
  </si>
  <si>
    <t>$104 Each</t>
  </si>
  <si>
    <t>180 x 75 PF CHANNEL 15M</t>
  </si>
  <si>
    <t>$656 Each</t>
  </si>
  <si>
    <t>180 x 75 PF CHANNEL 13.5M</t>
  </si>
  <si>
    <t>$590.54 Each</t>
  </si>
  <si>
    <t>Fabricate and Weld Outrigger Pads from supplied</t>
  </si>
  <si>
    <t>CHEPS METAL WORX</t>
  </si>
  <si>
    <t>$140 Per unit</t>
  </si>
  <si>
    <t>ROUND SLING 50T X 6M</t>
  </si>
  <si>
    <t>$1895 each</t>
  </si>
  <si>
    <t>ROUND SLING 30T X 2MTR</t>
  </si>
  <si>
    <t>$425 each</t>
  </si>
  <si>
    <t>Magnetic Steel Chamfer 15x15mm -</t>
  </si>
  <si>
    <t>$29 each</t>
  </si>
  <si>
    <t>Lenovo Thinkpad Ultra 7 CPU, 16GB RAM, 512GB SSD,</t>
  </si>
  <si>
    <t>Jacky</t>
  </si>
  <si>
    <t>IPHONE 16 256GB BK</t>
  </si>
  <si>
    <t>Lenovo Thinkbook i5-13th Gen CPU, 16GB ram, 512GB</t>
  </si>
  <si>
    <t>Keyen replacement laptop</t>
  </si>
  <si>
    <t>IPHONE 15 128GB BK</t>
  </si>
  <si>
    <t>Keyen</t>
  </si>
  <si>
    <t>IHS PE554 Stressing Pump with Bleed Down, Male
Gauge QAC and Female QA Couplers.</t>
  </si>
  <si>
    <t>MASTER FINISH 24IN WALK BEHIND TROWEL MACHINE MF 24in Edging Trowel Machine</t>
  </si>
  <si>
    <t>61172-1208786</t>
  </si>
  <si>
    <t>IPAD 10TH GEN WF/CL 256GB SV</t>
  </si>
  <si>
    <t>Patchers</t>
  </si>
  <si>
    <t>27" Lenovo Monitor</t>
  </si>
  <si>
    <t>$317.27 each Pending Jason's allocation</t>
  </si>
  <si>
    <t>LENOVO ThinkPad Universal USB-C Docking Station</t>
  </si>
  <si>
    <t>Pending Jason's allocation</t>
  </si>
  <si>
    <t>PCEAU424: Trowel, AU, Walk-Behind Edger, 24” rotor, rotating</t>
  </si>
  <si>
    <t>PCEAU436: Trowel, AU, Walk-Behind 36” rotor, Honda GX16</t>
  </si>
  <si>
    <t>`</t>
  </si>
  <si>
    <t>PSA LiftMX Clutch - 10 tonnes</t>
  </si>
  <si>
    <t xml:space="preserve"> MOD 70 x 10m MODULAR SPREADER BAR</t>
  </si>
  <si>
    <t>MOD 70 MODULAR SPREADER BAR COMPONENTS</t>
  </si>
  <si>
    <t>$3,178 each</t>
  </si>
  <si>
    <t>MIXER CEMENT ELECTRIC 4.2CFT 240V EASYMIX</t>
  </si>
  <si>
    <t>Denyo Kubota DCA45LSK 37.5KVA Silenced Diesel Generator</t>
  </si>
  <si>
    <t>Lenovo ThinkPad i7 Ultra CPU, 32GB DDR5, 512GB SSD</t>
  </si>
  <si>
    <t>drafting</t>
  </si>
  <si>
    <t>Lenovo ThinkPad i7 Ultra CPU, 32GB DDR5, 512GB SSD,</t>
  </si>
  <si>
    <t xml:space="preserve">NEW 2024 AAA - 45' Drop Deck Semi Trailer - Bifold Ramps 13.72M </t>
  </si>
  <si>
    <t>AAA Trailers Pty Ltd</t>
  </si>
  <si>
    <t>LA9932R0CMW068</t>
  </si>
  <si>
    <t>NEW 2024 AAA - 45' Drop Deck Widener w/- BI-FOLD RAMPS</t>
  </si>
  <si>
    <t>LA993VGP8P0CMW475</t>
  </si>
  <si>
    <t>NEW 2025 AAA - 45' Drop Deck Semi Trailer</t>
  </si>
  <si>
    <t>QUAD AXLE LOW LOADER WIDENER FRONT LIFT REAR STEER</t>
  </si>
  <si>
    <t>LA994VGP5N0CMW993</t>
  </si>
  <si>
    <t>1x Denyo Kubota DCA25ESK 20KVA Silenced Diesel Generator SN 70001659</t>
  </si>
  <si>
    <t>STAINLESS STEEL ETCHED METAL LOAD TAGS H/DUTY 2.5MM</t>
  </si>
  <si>
    <t>MANUFACTURE GRADE 100 13MM 3M ENDLESS CHAINS</t>
  </si>
  <si>
    <t>Hoshizaki DB-200H-Worksite Worksite ICE ONLY Dispenser 9100006</t>
  </si>
  <si>
    <t>Macharlin Pty Ltd (Catering Equipment Trade Centre)</t>
  </si>
  <si>
    <t>DeWALT18V5.0/6.0AHBrushess2PieceComboKitPremium DCD1007DCF860</t>
  </si>
  <si>
    <t>Tank 450L Lockable Diesel Fuel Storage</t>
  </si>
  <si>
    <t>$1,838-70 each</t>
  </si>
  <si>
    <t>COMBO KIT 18V 2PC 2X5.0AH IW/GG (BAG) MILWAUKEE</t>
  </si>
  <si>
    <t xml:space="preserve"> </t>
  </si>
  <si>
    <t>COMPRESSOR TECO ELEC MOTOR 280L/MIN 3.0HP 60L</t>
  </si>
  <si>
    <t>Mach Plasma Cutmaster 70+</t>
  </si>
  <si>
    <t>State of the Arc</t>
  </si>
  <si>
    <t>DC30624210033</t>
  </si>
  <si>
    <t>Flat Top B Trailer</t>
  </si>
  <si>
    <t>Topconn Laser</t>
  </si>
  <si>
    <t>Sydney Tools</t>
  </si>
  <si>
    <t>9345549000427</t>
  </si>
  <si>
    <t>LTES Vic</t>
  </si>
  <si>
    <t>Lenovo Thinkbook i5 Ultra CPU, 16GB Ram, 512GB SSD</t>
  </si>
  <si>
    <t>Lenevo Thiknpad Carbon Gen 13</t>
  </si>
  <si>
    <t>Lenovo</t>
  </si>
  <si>
    <t>21NXCTO1WWAU2</t>
  </si>
  <si>
    <t>FLX POWER TROWEL W/B PETROL 24" FP424-2 S/N K01-10042</t>
  </si>
  <si>
    <t>FLX POWER TROWEL W/B PETROL 24" FP424-2 S/N K01-10043</t>
  </si>
  <si>
    <t>FLX POWER TRWL W/BEHIND PETROL 24IN PRO S/N -  I11-11207</t>
  </si>
  <si>
    <t>FLX POWER TROWEL W/B PETROL 34 FT34-2 S/N K01-11172</t>
  </si>
  <si>
    <t>FLX POWER TROWEL W/B PETROL 34 FT34-2 S/N K01-11173</t>
  </si>
  <si>
    <t>FLX POWER TROWEL W/B PETROL 34 FT34-2 S/N K01-11180</t>
  </si>
  <si>
    <t>Compressor - Senator DSV22-8 Professional
Compressed Air Package</t>
  </si>
  <si>
    <t>Acer Swift A Laptop SF14-551-50P8 Laptop</t>
  </si>
  <si>
    <t>Harvey Norman</t>
  </si>
  <si>
    <t>SAW MITRE COMP-GL 305MM 2000W 104X335MM BRK LASR DBL BOSCH</t>
  </si>
  <si>
    <t>Total Tools</t>
  </si>
  <si>
    <t>Intel i9 Ultra CPU, 64GB (32GB x 2) 6000Mhz Memory,Samsung 990 Pro 1TB NVMe SSD, Samsung 990 Pro 2TB</t>
  </si>
  <si>
    <t>Rubiks IT</t>
  </si>
  <si>
    <t>Reflex RHD42A Reinforcing Steel Bar Cutter</t>
  </si>
  <si>
    <t>Capital Machinery Sales</t>
  </si>
  <si>
    <t>Fully install Stainless pipelines for
Compressed Air and Argon shield gas</t>
  </si>
  <si>
    <t>Lenovo Thinkpad i5 Ultra, 16 GB ram, 512GB SSD</t>
  </si>
  <si>
    <t>Dewalt 18V /54V Skin DCV586MN-XL Vacym Dust Extractor</t>
  </si>
  <si>
    <t>Sydney Tools Pty Ltd</t>
  </si>
  <si>
    <t>Garmin dezlCam LGV725 7-inch GPS Truck Sat Nav</t>
  </si>
  <si>
    <t>Truck Accessories</t>
  </si>
  <si>
    <t>Harvey Norman - The Ecomm Store</t>
  </si>
  <si>
    <t>Yard Rigging Gear c/w CHAIN SLING 10 &amp; 13MM WITH OVERSIZED HEAD RING X 6MTR
X 2 LEG GRADE 100 C/W CLEVIS GRAB SHORTENERS AND
CLEVIS SAFETY HOOKS</t>
  </si>
  <si>
    <t>15T SNATCH BLOCK ,ROPE,SNOTTER CHAIN ( for  VICTORIA)</t>
  </si>
  <si>
    <t>Complete set MAN BOX WLL5700KG,</t>
  </si>
  <si>
    <t>LTEQMB001</t>
  </si>
  <si>
    <t>Lenovo T series Thinkpad, i7-13th gen CPU, 16GB RAM,512GB SSD, Windows 11 pro, 4G LTE nano sim slot, 3 years warranty</t>
  </si>
  <si>
    <t>Lenovo Thinkbook i5 Ultra, 16GB RAM, 512GB SSD Windows 11 Pro. 1 Year warranty.</t>
  </si>
  <si>
    <t>Lenovo X1 Carbon Gen 13, i7 Ultra CPU, 32GB Memory,512GB SSD, 5G Sim 1 year warranty</t>
  </si>
  <si>
    <t>41T spreader beams - HDG (AS IS WHERE IS Basis)</t>
  </si>
  <si>
    <t>50T pipe spreader beams -complete with 25t Sheave , wire ropes and latch lock hook ends</t>
  </si>
  <si>
    <t>Plate spreader beams complete with lifting chains and plate grabs</t>
  </si>
  <si>
    <t>40ton dual overhead crane lifting beam</t>
  </si>
  <si>
    <t>45t Swivel joint for lifting beam</t>
  </si>
  <si>
    <t>Depreciation This Period</t>
  </si>
  <si>
    <t>NA</t>
  </si>
  <si>
    <t>$585.8 per unit</t>
  </si>
  <si>
    <t>$255 per unit</t>
  </si>
  <si>
    <t>$452.03 per unit</t>
  </si>
  <si>
    <t>$587.17 per unit</t>
  </si>
  <si>
    <t>$779.04 per unit</t>
  </si>
  <si>
    <t>$900.63 per unit</t>
  </si>
  <si>
    <t>$1025.07 per unit</t>
  </si>
  <si>
    <t>$2155 per unit</t>
  </si>
  <si>
    <t>$1505 per unit</t>
  </si>
  <si>
    <t>Total</t>
  </si>
  <si>
    <t>Panel Racks</t>
  </si>
  <si>
    <t>"A " frames</t>
  </si>
  <si>
    <t xml:space="preserve">Total Steel </t>
  </si>
  <si>
    <t>Total Steel</t>
  </si>
  <si>
    <t>Inv 135356 22/10/2021</t>
  </si>
  <si>
    <t>3/6/2022   661218  6x76x152 RHS</t>
  </si>
  <si>
    <t>Labour</t>
  </si>
  <si>
    <t>Total Cost for 8  frames</t>
  </si>
  <si>
    <t>Cost per Panel Rack</t>
  </si>
  <si>
    <t xml:space="preserve"> Inv 637982 10/12/2021</t>
  </si>
  <si>
    <t xml:space="preserve"> Inv 644820 9/2/2022</t>
  </si>
  <si>
    <t xml:space="preserve"> Inv 644808 9/2/2022</t>
  </si>
  <si>
    <t xml:space="preserve"> Inv 645415 14/2/2022</t>
  </si>
  <si>
    <t xml:space="preserve"> Inv 645397 14/2/2022</t>
  </si>
  <si>
    <t>Inv 646061 17/2/2022</t>
  </si>
  <si>
    <t>Inv 657099 9/5/2022</t>
  </si>
  <si>
    <t>Inv 657074 9/5/2022</t>
  </si>
  <si>
    <t>Inv 658625 18/5/2022</t>
  </si>
  <si>
    <t>Inv 660239 30/5/2022</t>
  </si>
  <si>
    <t>Inv 663678 22/6/2022</t>
  </si>
  <si>
    <t>Inv 664462 27/6/2022</t>
  </si>
  <si>
    <t>Inv 664610 28/6/2022</t>
  </si>
  <si>
    <t>Inv 671371 11/8/2022</t>
  </si>
  <si>
    <t>Inv 671382 11/8/2022</t>
  </si>
  <si>
    <t>Total Steel Invoices</t>
  </si>
  <si>
    <t>Total Cost (10 racks)</t>
  </si>
  <si>
    <t>Written off 15/3/25</t>
  </si>
  <si>
    <t>Written off 15/3/26</t>
  </si>
  <si>
    <t>Written off 15/3/27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</si>
</sst>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&quot;$&quot;#,##0.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98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14" fontId="0" fillId="0" borderId="3" xfId="0" applyNumberFormat="1" applyBorder="1"/>
    <xf numFmtId="14" fontId="0" fillId="0" borderId="2" xfId="0" applyNumberFormat="1" applyBorder="1"/>
    <xf numFmtId="14" fontId="0" fillId="0" borderId="0" xfId="0" applyNumberFormat="1"/>
    <xf numFmtId="2" fontId="0" fillId="0" borderId="3" xfId="0" applyNumberFormat="1" applyBorder="1"/>
    <xf numFmtId="2" fontId="0" fillId="0" borderId="2" xfId="0" applyNumberFormat="1" applyBorder="1"/>
    <xf numFmtId="4" fontId="0" fillId="0" borderId="3" xfId="0" applyNumberFormat="1" applyBorder="1"/>
    <xf numFmtId="4" fontId="0" fillId="0" borderId="2" xfId="0" applyNumberFormat="1" applyBorder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0" fontId="1" fillId="0" borderId="2" xfId="0" applyFont="1" applyBorder="1"/>
    <xf numFmtId="0" fontId="1" fillId="0" borderId="2" xfId="0" applyFont="1" applyBorder="1" applyAlignment="1">
      <alignment wrapText="1"/>
    </xf>
    <xf numFmtId="14" fontId="1" fillId="0" borderId="2" xfId="0" applyNumberFormat="1" applyFont="1" applyBorder="1"/>
    <xf numFmtId="4" fontId="1" fillId="0" borderId="2" xfId="0" applyNumberFormat="1" applyFont="1" applyBorder="1"/>
    <xf numFmtId="8" fontId="1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0" fillId="0" borderId="3" xfId="0" applyNumberFormat="1" applyBorder="1"/>
    <xf numFmtId="164" fontId="1" fillId="0" borderId="2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wrapText="1"/>
    </xf>
    <xf numFmtId="0" fontId="3" fillId="0" borderId="0" xfId="1"/>
    <xf numFmtId="0" fontId="2" fillId="0" borderId="0" xfId="1" applyFont="1"/>
    <xf numFmtId="0" fontId="1" fillId="0" borderId="0" xfId="1" applyFont="1"/>
    <xf numFmtId="0" fontId="3" fillId="0" borderId="3" xfId="1" applyBorder="1"/>
    <xf numFmtId="0" fontId="3" fillId="0" borderId="3" xfId="1" applyBorder="1" applyAlignment="1">
      <alignment wrapText="1"/>
    </xf>
    <xf numFmtId="14" fontId="3" fillId="0" borderId="3" xfId="1" applyNumberFormat="1" applyBorder="1"/>
    <xf numFmtId="4" fontId="3" fillId="0" borderId="3" xfId="1" applyNumberFormat="1" applyBorder="1"/>
    <xf numFmtId="0" fontId="3" fillId="0" borderId="2" xfId="1" applyBorder="1"/>
    <xf numFmtId="164" fontId="3" fillId="0" borderId="3" xfId="1" applyNumberFormat="1" applyBorder="1"/>
    <xf numFmtId="2" fontId="3" fillId="0" borderId="3" xfId="1" applyNumberFormat="1" applyBorder="1"/>
    <xf numFmtId="0" fontId="3" fillId="0" borderId="2" xfId="1" applyBorder="1" applyAlignment="1">
      <alignment wrapText="1"/>
    </xf>
    <xf numFmtId="14" fontId="3" fillId="0" borderId="2" xfId="1" applyNumberFormat="1" applyBorder="1"/>
    <xf numFmtId="4" fontId="3" fillId="0" borderId="2" xfId="1" applyNumberFormat="1" applyBorder="1"/>
    <xf numFmtId="2" fontId="3" fillId="0" borderId="2" xfId="1" applyNumberFormat="1" applyBorder="1"/>
    <xf numFmtId="14" fontId="3" fillId="0" borderId="0" xfId="1" applyNumberFormat="1"/>
    <xf numFmtId="0" fontId="3" fillId="3" borderId="2" xfId="1" applyFill="1" applyBorder="1" applyAlignment="1">
      <alignment wrapText="1"/>
    </xf>
    <xf numFmtId="2" fontId="3" fillId="0" borderId="2" xfId="1" applyNumberFormat="1" applyBorder="1" applyAlignment="1">
      <alignment horizontal="right"/>
    </xf>
    <xf numFmtId="2" fontId="3" fillId="0" borderId="0" xfId="1" applyNumberFormat="1"/>
    <xf numFmtId="0" fontId="1" fillId="0" borderId="2" xfId="1" applyFont="1" applyBorder="1"/>
    <xf numFmtId="14" fontId="1" fillId="0" borderId="2" xfId="1" applyNumberFormat="1" applyFont="1" applyBorder="1"/>
    <xf numFmtId="4" fontId="1" fillId="0" borderId="2" xfId="1" applyNumberFormat="1" applyFont="1" applyBorder="1"/>
    <xf numFmtId="0" fontId="3" fillId="0" borderId="0" xfId="1" applyAlignment="1">
      <alignment wrapText="1"/>
    </xf>
    <xf numFmtId="164" fontId="3" fillId="0" borderId="0" xfId="1" applyNumberFormat="1"/>
    <xf numFmtId="164" fontId="3" fillId="0" borderId="2" xfId="1" applyNumberFormat="1" applyBorder="1"/>
    <xf numFmtId="2" fontId="3" fillId="4" borderId="2" xfId="1" applyNumberFormat="1" applyFill="1" applyBorder="1"/>
    <xf numFmtId="2" fontId="3" fillId="4" borderId="3" xfId="1" applyNumberFormat="1" applyFill="1" applyBorder="1"/>
    <xf numFmtId="0" fontId="3" fillId="4" borderId="0" xfId="1" applyFill="1"/>
    <xf numFmtId="0" fontId="3" fillId="5" borderId="0" xfId="1" applyFill="1"/>
    <xf numFmtId="0" fontId="1" fillId="5" borderId="0" xfId="1" applyFont="1" applyFill="1"/>
    <xf numFmtId="0" fontId="1" fillId="5" borderId="0" xfId="1" applyFont="1" applyFill="1" applyAlignment="1">
      <alignment wrapText="1"/>
    </xf>
    <xf numFmtId="14" fontId="1" fillId="5" borderId="0" xfId="1" applyNumberFormat="1" applyFont="1" applyFill="1"/>
    <xf numFmtId="164" fontId="1" fillId="5" borderId="0" xfId="1" applyNumberFormat="1" applyFont="1" applyFill="1"/>
    <xf numFmtId="164" fontId="3" fillId="5" borderId="0" xfId="1" applyNumberFormat="1" applyFill="1"/>
    <xf numFmtId="2" fontId="3" fillId="5" borderId="0" xfId="1" applyNumberFormat="1" applyFill="1"/>
    <xf numFmtId="2" fontId="1" fillId="5" borderId="0" xfId="1" applyNumberFormat="1" applyFont="1" applyFill="1"/>
    <xf numFmtId="3" fontId="3" fillId="0" borderId="2" xfId="1" applyNumberFormat="1" applyBorder="1"/>
    <xf numFmtId="4" fontId="3" fillId="0" borderId="0" xfId="1" applyNumberFormat="1"/>
    <xf numFmtId="4" fontId="1" fillId="5" borderId="0" xfId="1" applyNumberFormat="1" applyFont="1" applyFill="1"/>
    <xf numFmtId="0" fontId="1" fillId="2" borderId="1" xfId="1" applyFont="1" applyFill="1" applyBorder="1" applyAlignment="1">
      <alignment horizontal="center" vertical="center" wrapText="1"/>
    </xf>
    <xf numFmtId="164" fontId="3" fillId="3" borderId="3" xfId="1" applyNumberFormat="1" applyFill="1" applyBorder="1"/>
    <xf numFmtId="165" fontId="3" fillId="0" borderId="3" xfId="1" applyNumberFormat="1" applyBorder="1"/>
    <xf numFmtId="8" fontId="3" fillId="0" borderId="2" xfId="1" applyNumberFormat="1" applyBorder="1"/>
    <xf numFmtId="0" fontId="3" fillId="3" borderId="2" xfId="1" applyFill="1" applyBorder="1"/>
    <xf numFmtId="14" fontId="3" fillId="3" borderId="2" xfId="1" applyNumberFormat="1" applyFill="1" applyBorder="1"/>
    <xf numFmtId="4" fontId="3" fillId="3" borderId="2" xfId="1" applyNumberFormat="1" applyFill="1" applyBorder="1"/>
    <xf numFmtId="164" fontId="3" fillId="3" borderId="2" xfId="1" applyNumberFormat="1" applyFill="1" applyBorder="1"/>
    <xf numFmtId="2" fontId="3" fillId="3" borderId="3" xfId="1" applyNumberFormat="1" applyFill="1" applyBorder="1"/>
    <xf numFmtId="0" fontId="3" fillId="3" borderId="3" xfId="1" applyFill="1" applyBorder="1"/>
    <xf numFmtId="2" fontId="3" fillId="3" borderId="2" xfId="1" applyNumberFormat="1" applyFill="1" applyBorder="1"/>
    <xf numFmtId="0" fontId="5" fillId="0" borderId="0" xfId="0" applyFont="1" applyAlignment="1">
      <alignment vertical="center"/>
    </xf>
    <xf numFmtId="0" fontId="3" fillId="0" borderId="4" xfId="1" applyBorder="1"/>
    <xf numFmtId="0" fontId="3" fillId="0" borderId="5" xfId="1" applyBorder="1"/>
    <xf numFmtId="14" fontId="3" fillId="0" borderId="5" xfId="1" applyNumberFormat="1" applyBorder="1"/>
    <xf numFmtId="4" fontId="3" fillId="0" borderId="5" xfId="1" applyNumberFormat="1" applyBorder="1"/>
    <xf numFmtId="164" fontId="3" fillId="0" borderId="4" xfId="1" applyNumberFormat="1" applyBorder="1"/>
    <xf numFmtId="164" fontId="3" fillId="0" borderId="5" xfId="1" applyNumberFormat="1" applyBorder="1"/>
    <xf numFmtId="2" fontId="3" fillId="0" borderId="4" xfId="1" applyNumberFormat="1" applyBorder="1"/>
    <xf numFmtId="49" fontId="3" fillId="0" borderId="2" xfId="1" applyNumberFormat="1" applyBorder="1"/>
    <xf numFmtId="0" fontId="6" fillId="0" borderId="2" xfId="0" applyFont="1" applyBorder="1"/>
    <xf numFmtId="14" fontId="3" fillId="0" borderId="2" xfId="1" applyNumberFormat="1" applyBorder="1" applyAlignment="1">
      <alignment horizontal="right"/>
    </xf>
    <xf numFmtId="0" fontId="3" fillId="0" borderId="0" xfId="1" applyBorder="1" applyAlignment="1">
      <alignment wrapText="1"/>
    </xf>
    <xf numFmtId="0" fontId="3" fillId="0" borderId="0" xfId="1" applyBorder="1"/>
    <xf numFmtId="0" fontId="6" fillId="0" borderId="0" xfId="0" applyFont="1" applyBorder="1"/>
    <xf numFmtId="14" fontId="3" fillId="0" borderId="0" xfId="1" applyNumberFormat="1" applyBorder="1"/>
    <xf numFmtId="4" fontId="3" fillId="0" borderId="0" xfId="1" applyNumberFormat="1" applyBorder="1"/>
    <xf numFmtId="2" fontId="3" fillId="0" borderId="0" xfId="1" applyNumberFormat="1" applyBorder="1"/>
    <xf numFmtId="0" fontId="4" fillId="0" borderId="2" xfId="0" applyFont="1" applyBorder="1" applyAlignment="1">
      <alignment vertical="center"/>
    </xf>
  </cellXfs>
  <cellStyles count="2">
    <cellStyle name="Normal" xfId="0" builtinId="0"/>
    <cellStyle name="Normal 2" xfId="1" xr:uid="{59DA9401-B23A-4275-BF5D-F501E8CF7AB1}"/>
  </cellStyles>
  <dxfs count="7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 LTE" refreshedDate="44946.577044444442" createdVersion="8" refreshedVersion="8" minRefreshableVersion="3" recordCount="79" xr:uid="{E0AD9A50-9F81-498F-A820-105327E370AC}">
  <cacheSource type="worksheet">
    <worksheetSource ref="A6:O85" sheet="Assets FY 21-22"/>
  </cacheSource>
  <cacheFields count="15">
    <cacheField name="Item" numFmtId="0">
      <sharedItems containsSemiMixedTypes="0" containsString="0" containsNumber="1" containsInteger="1" minValue="1" maxValue="89"/>
    </cacheField>
    <cacheField name="Asset Name" numFmtId="0">
      <sharedItems/>
    </cacheField>
    <cacheField name="Quantity " numFmtId="0">
      <sharedItems containsSemiMixedTypes="0" containsString="0" containsNumber="1" containsInteger="1" minValue="1" maxValue="100"/>
    </cacheField>
    <cacheField name="Description" numFmtId="0">
      <sharedItems count="6">
        <s v="Tools"/>
        <s v="Magnets and Formwork/Klipform"/>
        <s v="Machinery"/>
        <s v="Buildings"/>
        <s v="Computer Equipment"/>
        <s v="Yard Equipment"/>
      </sharedItems>
    </cacheField>
    <cacheField name="Supplier" numFmtId="0">
      <sharedItems/>
    </cacheField>
    <cacheField name="Asset No." numFmtId="0">
      <sharedItems containsNonDate="0" containsString="0" containsBlank="1"/>
    </cacheField>
    <cacheField name="Serial No." numFmtId="0">
      <sharedItems containsBlank="1" containsMixedTypes="1" containsNumber="1" containsInteger="1" minValue="10043" maxValue="526916121"/>
    </cacheField>
    <cacheField name="Acquisition Date" numFmtId="14">
      <sharedItems containsDate="1" containsMixedTypes="1" minDate="2021-05-12T00:00:00" maxDate="2022-06-24T00:00:00"/>
    </cacheField>
    <cacheField name="Acquisition Cost" numFmtId="4">
      <sharedItems containsSemiMixedTypes="0" containsString="0" containsNumber="1" minValue="736" maxValue="93358.22"/>
    </cacheField>
    <cacheField name="Useful Life (Years)" numFmtId="0">
      <sharedItems containsSemiMixedTypes="0" containsString="0" containsNumber="1" containsInteger="1" minValue="3" maxValue="10"/>
    </cacheField>
    <cacheField name="Salvage Value" numFmtId="164">
      <sharedItems containsSemiMixedTypes="0" containsString="0" containsNumber="1" minValue="0" maxValue="9335.8220000000001"/>
    </cacheField>
    <cacheField name="Acc Depreciation" numFmtId="0">
      <sharedItems/>
    </cacheField>
    <cacheField name="Depreciation This Period" numFmtId="164">
      <sharedItems containsSemiMixedTypes="0" containsString="0" containsNumber="1" minValue="192.9" maxValue="9013.3333333333339"/>
    </cacheField>
    <cacheField name="Book Value" numFmtId="164">
      <sharedItems containsSemiMixedTypes="0" containsString="0" containsNumber="1" minValue="490.66666666666663" maxValue="84955.980200000005"/>
    </cacheField>
    <cacheField name="Remarks " numFmtId="2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h Rajcoomar" refreshedDate="45879.476473958333" createdVersion="8" refreshedVersion="8" minRefreshableVersion="3" recordCount="185" xr:uid="{C35F9E11-99BC-483E-9E37-E596E142F09F}">
  <cacheSource type="worksheet">
    <worksheetSource ref="A6:P191" sheet="Assets FY 24-25"/>
  </cacheSource>
  <cacheFields count="16">
    <cacheField name="Item" numFmtId="0">
      <sharedItems containsSemiMixedTypes="0" containsString="0" containsNumber="1" containsInteger="1" minValue="251" maxValue="437"/>
    </cacheField>
    <cacheField name="Asset Name" numFmtId="0">
      <sharedItems/>
    </cacheField>
    <cacheField name="Quantity " numFmtId="0">
      <sharedItems containsString="0" containsBlank="1" containsNumber="1" containsInteger="1" minValue="1" maxValue="2000"/>
    </cacheField>
    <cacheField name="Description" numFmtId="0">
      <sharedItems containsBlank="1" count="10">
        <s v="Tools"/>
        <s v="Machinery"/>
        <s v="Magnets and Formwork/Klipform"/>
        <s v="Computer Equipment"/>
        <s v="Buildings"/>
        <s v="Laptop"/>
        <s v="Phone"/>
        <s v="Yard Equipment"/>
        <s v="Truck Accessories"/>
        <m u="1"/>
      </sharedItems>
    </cacheField>
    <cacheField name="Supplier" numFmtId="0">
      <sharedItems/>
    </cacheField>
    <cacheField name="Asset No." numFmtId="0">
      <sharedItems containsNonDate="0" containsString="0" containsBlank="1"/>
    </cacheField>
    <cacheField name="Serial No." numFmtId="0">
      <sharedItems containsBlank="1" containsMixedTypes="1" containsNumber="1" containsInteger="1" minValue="19225073" maxValue="892514348"/>
    </cacheField>
    <cacheField name="Acquisition Date" numFmtId="14">
      <sharedItems containsSemiMixedTypes="0" containsNonDate="0" containsDate="1" containsString="0" minDate="2024-07-04T00:00:00" maxDate="2025-07-31T00:00:00"/>
    </cacheField>
    <cacheField name="Acquisition Cost" numFmtId="0">
      <sharedItems containsSemiMixedTypes="0" containsString="0" containsNumber="1" minValue="280" maxValue="621682.30000000005"/>
    </cacheField>
    <cacheField name="Useful Life (Years)" numFmtId="0">
      <sharedItems containsSemiMixedTypes="0" containsString="0" containsNumber="1" containsInteger="1" minValue="3" maxValue="10"/>
    </cacheField>
    <cacheField name="Salvage Value" numFmtId="164">
      <sharedItems containsSemiMixedTypes="0" containsString="0" containsNumber="1" minValue="0" maxValue="62168.23"/>
    </cacheField>
    <cacheField name="Acc Depreciation" numFmtId="164">
      <sharedItems containsSemiMixedTypes="0" containsString="0" containsNumber="1" minValue="25.2" maxValue="111902.81400000001"/>
    </cacheField>
    <cacheField name="Depreciation This Period (Initial)" numFmtId="164">
      <sharedItems containsSemiMixedTypes="0" containsString="0" containsNumber="1" minValue="25.2" maxValue="111902.81400000001"/>
    </cacheField>
    <cacheField name="Book Value" numFmtId="164">
      <sharedItems containsSemiMixedTypes="0" containsString="0" containsNumber="1" minValue="0" maxValue="509779.48600000003"/>
    </cacheField>
    <cacheField name="Remarks " numFmtId="0">
      <sharedItems containsBlank="1" containsMixedTypes="1" containsNumber="1" containsInteger="1" minValue="695" maxValue="695"/>
    </cacheField>
    <cacheField name="No of Years Depreciat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h Rajcoomar" refreshedDate="45879.494829282405" createdVersion="8" refreshedVersion="8" minRefreshableVersion="3" recordCount="435" xr:uid="{CEE817AC-923A-4040-B2B6-1EF3BA73DE8D}">
  <cacheSource type="worksheet">
    <worksheetSource ref="C6:P441" sheet="All Assets "/>
  </cacheSource>
  <cacheFields count="14">
    <cacheField name="Quantity " numFmtId="0">
      <sharedItems containsString="0" containsBlank="1" containsNumber="1" containsInteger="1" minValue="1" maxValue="2000"/>
    </cacheField>
    <cacheField name="Description" numFmtId="0">
      <sharedItems count="9">
        <s v="Computer Equipment"/>
        <s v="Buildings"/>
        <s v="Tools"/>
        <s v="Machinery"/>
        <s v="Magnets and Formwork/Klipform"/>
        <s v="Yard Equipment"/>
        <s v="Laptop"/>
        <s v="Phone"/>
        <s v="Truck Accessories"/>
      </sharedItems>
    </cacheField>
    <cacheField name="Supplier" numFmtId="0">
      <sharedItems/>
    </cacheField>
    <cacheField name="Asset No." numFmtId="0">
      <sharedItems containsString="0" containsBlank="1" containsNumber="1" containsInteger="1" minValue="0" maxValue="0"/>
    </cacheField>
    <cacheField name="Serial No." numFmtId="0">
      <sharedItems containsBlank="1" containsMixedTypes="1" containsNumber="1" containsInteger="1" minValue="10043" maxValue="141142143144"/>
    </cacheField>
    <cacheField name="Acquisition Date" numFmtId="14">
      <sharedItems containsSemiMixedTypes="0" containsNonDate="0" containsDate="1" containsString="0" minDate="2021-05-12T00:00:00" maxDate="2025-07-31T00:00:00" count="282">
        <d v="2021-05-12T00:00:00"/>
        <d v="2021-05-14T00:00:00"/>
        <d v="2021-05-27T00:00:00"/>
        <d v="2021-06-15T00:00:00"/>
        <d v="2021-06-22T00:00:00"/>
        <d v="2021-07-02T00:00:00"/>
        <d v="2021-07-21T00:00:00"/>
        <d v="2021-09-13T00:00:00"/>
        <d v="2021-09-14T00:00:00"/>
        <d v="2021-09-23T00:00:00"/>
        <d v="2021-09-24T00:00:00"/>
        <d v="2021-10-05T00:00:00"/>
        <d v="2021-10-11T00:00:00"/>
        <d v="2021-10-12T00:00:00"/>
        <d v="2021-10-13T00:00:00"/>
        <d v="2021-10-15T00:00:00"/>
        <d v="2021-10-18T00:00:00"/>
        <d v="2021-10-21T00:00:00"/>
        <d v="2021-10-22T00:00:00"/>
        <d v="2021-10-25T00:00:00"/>
        <d v="2021-11-01T00:00:00"/>
        <d v="2021-11-15T00:00:00"/>
        <d v="2021-11-23T00:00:00"/>
        <d v="2021-11-30T00:00:00"/>
        <d v="2021-12-07T00:00:00"/>
        <d v="2021-12-20T00:00:00"/>
        <d v="2022-01-09T00:00:00"/>
        <d v="2022-01-16T00:00:00"/>
        <d v="2022-01-17T00:00:00"/>
        <d v="2022-02-08T00:00:00"/>
        <d v="2022-02-10T00:00:00"/>
        <d v="2022-02-22T00:00:00"/>
        <d v="2022-03-01T00:00:00"/>
        <d v="2022-03-03T00:00:00"/>
        <d v="2022-03-09T00:00:00"/>
        <d v="2022-03-30T00:00:00"/>
        <d v="2022-03-31T00:00:00"/>
        <d v="2022-04-14T00:00:00"/>
        <d v="2022-04-22T00:00:00"/>
        <d v="2022-05-11T00:00:00"/>
        <d v="2022-05-16T00:00:00"/>
        <d v="2022-05-18T00:00:00"/>
        <d v="2022-05-26T00:00:00"/>
        <d v="2022-05-31T00:00:00"/>
        <d v="2022-06-01T00:00:00"/>
        <d v="2022-06-03T00:00:00"/>
        <d v="2022-06-13T00:00:00"/>
        <d v="2022-06-14T00:00:00"/>
        <d v="2022-06-15T00:00:00"/>
        <d v="2022-06-16T00:00:00"/>
        <d v="2022-06-22T00:00:00"/>
        <d v="2022-06-23T00:00:00"/>
        <d v="2022-06-30T00:00:00"/>
        <d v="2022-07-18T00:00:00"/>
        <d v="2022-07-19T00:00:00"/>
        <d v="2022-07-22T00:00:00"/>
        <d v="2022-07-25T00:00:00"/>
        <d v="2022-07-29T00:00:00"/>
        <d v="2022-08-02T00:00:00"/>
        <d v="2022-08-04T00:00:00"/>
        <d v="2022-08-08T00:00:00"/>
        <d v="2022-08-18T00:00:00"/>
        <d v="2022-08-20T00:00:00"/>
        <d v="2022-08-23T00:00:00"/>
        <d v="2022-08-25T00:00:00"/>
        <d v="2022-08-31T00:00:00"/>
        <d v="2022-09-01T00:00:00"/>
        <d v="2022-09-02T00:00:00"/>
        <d v="2022-09-05T00:00:00"/>
        <d v="2022-09-07T00:00:00"/>
        <d v="2022-09-08T00:00:00"/>
        <d v="2022-09-09T00:00:00"/>
        <d v="2022-09-19T00:00:00"/>
        <d v="2022-09-20T00:00:00"/>
        <d v="2022-09-28T00:00:00"/>
        <d v="2022-09-30T00:00:00"/>
        <d v="2022-10-06T00:00:00"/>
        <d v="2022-10-11T00:00:00"/>
        <d v="2022-10-12T00:00:00"/>
        <d v="2022-10-19T00:00:00"/>
        <d v="2022-10-20T00:00:00"/>
        <d v="2022-10-21T00:00:00"/>
        <d v="2022-10-24T00:00:00"/>
        <d v="2022-10-25T00:00:00"/>
        <d v="2022-10-31T00:00:00"/>
        <d v="2022-11-03T00:00:00"/>
        <d v="2022-11-07T00:00:00"/>
        <d v="2022-11-22T00:00:00"/>
        <d v="2022-11-30T00:00:00"/>
        <d v="2022-12-09T00:00:00"/>
        <d v="2023-01-16T00:00:00"/>
        <d v="2023-01-19T00:00:00"/>
        <d v="2023-02-07T00:00:00"/>
        <d v="2023-02-09T00:00:00"/>
        <d v="2023-02-22T00:00:00"/>
        <d v="2023-02-27T00:00:00"/>
        <d v="2023-03-13T00:00:00"/>
        <d v="2023-03-16T00:00:00"/>
        <d v="2023-03-21T00:00:00"/>
        <d v="2023-03-22T00:00:00"/>
        <d v="2023-03-23T00:00:00"/>
        <d v="2023-03-24T00:00:00"/>
        <d v="2023-03-28T00:00:00"/>
        <d v="2023-03-29T00:00:00"/>
        <d v="2023-04-03T00:00:00"/>
        <d v="2023-04-17T00:00:00"/>
        <d v="2023-04-18T00:00:00"/>
        <d v="2023-04-27T00:00:00"/>
        <d v="2023-05-15T00:00:00"/>
        <d v="2023-05-25T00:00:00"/>
        <d v="2023-05-30T00:00:00"/>
        <d v="2023-06-02T00:00:00"/>
        <d v="2023-06-06T00:00:00"/>
        <d v="2023-06-09T00:00:00"/>
        <d v="2023-06-16T00:00:00"/>
        <d v="2023-06-22T00:00:00"/>
        <d v="2023-06-30T00:00:00"/>
        <d v="2023-07-04T00:00:00"/>
        <d v="2023-07-17T00:00:00"/>
        <d v="2023-07-24T00:00:00"/>
        <d v="2023-07-31T00:00:00"/>
        <d v="2023-08-02T00:00:00"/>
        <d v="2023-08-04T00:00:00"/>
        <d v="2023-08-08T00:00:00"/>
        <d v="2023-08-17T00:00:00"/>
        <d v="2023-08-18T00:00:00"/>
        <d v="2023-08-21T00:00:00"/>
        <d v="2023-08-23T00:00:00"/>
        <d v="2023-08-28T00:00:00"/>
        <d v="2023-08-29T00:00:00"/>
        <d v="2023-09-05T00:00:00"/>
        <d v="2023-10-03T00:00:00"/>
        <d v="2023-10-04T00:00:00"/>
        <d v="2023-10-06T00:00:00"/>
        <d v="2023-10-20T00:00:00"/>
        <d v="2023-10-25T00:00:00"/>
        <d v="2023-10-31T00:00:00"/>
        <d v="2023-11-02T00:00:00"/>
        <d v="2023-11-28T00:00:00"/>
        <d v="2023-12-05T00:00:00"/>
        <d v="2024-01-19T00:00:00"/>
        <d v="2024-01-22T00:00:00"/>
        <d v="2024-01-23T00:00:00"/>
        <d v="2024-01-30T00:00:00"/>
        <d v="2024-02-12T00:00:00"/>
        <d v="2024-02-16T00:00:00"/>
        <d v="2024-02-29T00:00:00"/>
        <d v="2024-03-12T00:00:00"/>
        <d v="2024-03-13T00:00:00"/>
        <d v="2024-03-20T00:00:00"/>
        <d v="2024-03-25T00:00:00"/>
        <d v="2024-04-16T00:00:00"/>
        <d v="2024-05-07T00:00:00"/>
        <d v="2024-05-08T00:00:00"/>
        <d v="2024-05-15T00:00:00"/>
        <d v="2024-05-17T00:00:00"/>
        <d v="2024-05-21T00:00:00"/>
        <d v="2024-05-22T00:00:00"/>
        <d v="2024-05-24T00:00:00"/>
        <d v="2024-05-27T00:00:00"/>
        <d v="2024-05-31T00:00:00"/>
        <d v="2024-06-05T00:00:00"/>
        <d v="2024-06-29T00:00:00"/>
        <d v="2024-07-04T00:00:00"/>
        <d v="2024-07-05T00:00:00"/>
        <d v="2024-07-08T00:00:00"/>
        <d v="2024-07-10T00:00:00"/>
        <d v="2024-07-11T00:00:00"/>
        <d v="2024-07-12T00:00:00"/>
        <d v="2024-07-16T00:00:00"/>
        <d v="2024-07-17T00:00:00"/>
        <d v="2024-07-18T00:00:00"/>
        <d v="2024-07-22T00:00:00"/>
        <d v="2024-07-24T00:00:00"/>
        <d v="2024-07-25T00:00:00"/>
        <d v="2024-07-26T00:00:00"/>
        <d v="2024-07-30T00:00:00"/>
        <d v="2024-07-31T00:00:00"/>
        <d v="2024-08-06T00:00:00"/>
        <d v="2024-08-08T00:00:00"/>
        <d v="2024-08-09T00:00:00"/>
        <d v="2024-08-19T00:00:00"/>
        <d v="2024-08-20T00:00:00"/>
        <d v="2024-08-21T00:00:00"/>
        <d v="2024-08-22T00:00:00"/>
        <d v="2024-08-23T00:00:00"/>
        <d v="2024-08-28T00:00:00"/>
        <d v="2024-09-03T00:00:00"/>
        <d v="2024-09-04T00:00:00"/>
        <d v="2024-09-05T00:00:00"/>
        <d v="2024-09-06T00:00:00"/>
        <d v="2024-09-09T00:00:00"/>
        <d v="2024-09-13T00:00:00"/>
        <d v="2024-09-16T00:00:00"/>
        <d v="2024-09-18T00:00:00"/>
        <d v="2024-09-19T00:00:00"/>
        <d v="2024-09-24T00:00:00"/>
        <d v="2024-09-25T00:00:00"/>
        <d v="2024-09-26T00:00:00"/>
        <d v="2024-09-27T00:00:00"/>
        <d v="2024-09-30T00:00:00"/>
        <d v="2024-10-01T00:00:00"/>
        <d v="2024-10-03T00:00:00"/>
        <d v="2024-10-08T00:00:00"/>
        <d v="2024-10-10T00:00:00"/>
        <d v="2024-10-16T00:00:00"/>
        <d v="2024-10-21T00:00:00"/>
        <d v="2024-10-22T00:00:00"/>
        <d v="2024-10-24T00:00:00"/>
        <d v="2024-10-29T00:00:00"/>
        <d v="2024-10-30T00:00:00"/>
        <d v="2024-10-31T00:00:00"/>
        <d v="2024-11-01T00:00:00"/>
        <d v="2024-11-06T00:00:00"/>
        <d v="2024-11-09T00:00:00"/>
        <d v="2024-11-12T00:00:00"/>
        <d v="2024-11-13T00:00:00"/>
        <d v="2024-11-15T00:00:00"/>
        <d v="2024-11-25T00:00:00"/>
        <d v="2024-11-27T00:00:00"/>
        <d v="2024-11-28T00:00:00"/>
        <d v="2024-12-02T00:00:00"/>
        <d v="2024-12-03T00:00:00"/>
        <d v="2024-12-09T00:00:00"/>
        <d v="2024-12-11T00:00:00"/>
        <d v="2024-12-17T00:00:00"/>
        <d v="2024-12-19T00:00:00"/>
        <d v="2025-01-07T00:00:00"/>
        <d v="2025-01-15T00:00:00"/>
        <d v="2025-01-21T00:00:00"/>
        <d v="2025-01-22T00:00:00"/>
        <d v="2025-01-24T00:00:00"/>
        <d v="2025-01-27T00:00:00"/>
        <d v="2025-01-30T00:00:00"/>
        <d v="2025-01-31T00:00:00"/>
        <d v="2025-02-03T00:00:00"/>
        <d v="2025-02-04T00:00:00"/>
        <d v="2025-02-05T00:00:00"/>
        <d v="2025-02-10T00:00:00"/>
        <d v="2025-02-11T00:00:00"/>
        <d v="2025-02-12T00:00:00"/>
        <d v="2025-02-14T00:00:00"/>
        <d v="2025-02-19T00:00:00"/>
        <d v="2025-02-24T00:00:00"/>
        <d v="2025-02-26T00:00:00"/>
        <d v="2025-02-27T00:00:00"/>
        <d v="2025-02-28T00:00:00"/>
        <d v="2025-03-05T00:00:00"/>
        <d v="2025-03-12T00:00:00"/>
        <d v="2025-03-13T00:00:00"/>
        <d v="2025-03-17T00:00:00"/>
        <d v="2025-03-18T00:00:00"/>
        <d v="2025-03-20T00:00:00"/>
        <d v="2025-03-31T00:00:00"/>
        <d v="2025-04-01T00:00:00"/>
        <d v="2025-04-02T00:00:00"/>
        <d v="2025-04-03T00:00:00"/>
        <d v="2025-04-07T00:00:00"/>
        <d v="2025-04-11T00:00:00"/>
        <d v="2025-04-30T00:00:00"/>
        <d v="2025-05-01T00:00:00"/>
        <d v="2025-05-06T00:00:00"/>
        <d v="2025-05-13T00:00:00"/>
        <d v="2025-05-16T00:00:00"/>
        <d v="2025-05-22T00:00:00"/>
        <d v="2025-05-27T00:00:00"/>
        <d v="2025-05-28T00:00:00"/>
        <d v="2025-05-30T00:00:00"/>
        <d v="2025-05-31T00:00:00"/>
        <d v="2025-06-02T00:00:00"/>
        <d v="2025-06-04T00:00:00"/>
        <d v="2025-06-11T00:00:00"/>
        <d v="2025-06-16T00:00:00"/>
        <d v="2025-06-18T00:00:00"/>
        <d v="2025-06-19T00:00:00"/>
        <d v="2025-06-20T00:00:00"/>
        <d v="2025-06-24T00:00:00"/>
        <d v="2025-06-30T00:00:00"/>
        <d v="2025-07-07T00:00:00"/>
        <d v="2025-07-14T00:00:00"/>
        <d v="2025-07-29T00:00:00"/>
        <d v="2025-07-30T00:00:00"/>
      </sharedItems>
    </cacheField>
    <cacheField name="Acquisition Cost" numFmtId="0">
      <sharedItems containsSemiMixedTypes="0" containsString="0" containsNumber="1" minValue="280" maxValue="621682.30000000005"/>
    </cacheField>
    <cacheField name="Useful Life (Years)" numFmtId="0">
      <sharedItems containsSemiMixedTypes="0" containsString="0" containsNumber="1" containsInteger="1" minValue="3" maxValue="10"/>
    </cacheField>
    <cacheField name="Salvage Value" numFmtId="164">
      <sharedItems containsSemiMixedTypes="0" containsString="0" containsNumber="1" minValue="0" maxValue="62168.23"/>
    </cacheField>
    <cacheField name="Acc Depreciation" numFmtId="164">
      <sharedItems containsSemiMixedTypes="0" containsString="0" containsNumber="1" minValue="0" maxValue="204352.82"/>
    </cacheField>
    <cacheField name="Depreciation This Period (Initial)" numFmtId="164">
      <sharedItems containsSemiMixedTypes="0" containsString="0" containsNumber="1" minValue="25.2" maxValue="111902.81400000001"/>
    </cacheField>
    <cacheField name="Book Value" numFmtId="164">
      <sharedItems containsSemiMixedTypes="0" containsString="0" containsNumber="1" minValue="0" maxValue="509779.48600000003"/>
    </cacheField>
    <cacheField name="Remarks " numFmtId="0">
      <sharedItems containsBlank="1" containsMixedTypes="1" containsNumber="1" minValue="695" maxValue="9156.94"/>
    </cacheField>
    <cacheField name="No of Years Depreciation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1"/>
    <s v="Motorola DP4400e Digital/ Analogue Portable radio"/>
    <n v="6"/>
    <x v="0"/>
    <s v="TRANS COMMUNICATIONS"/>
    <m/>
    <s v="807TSZ5049, 807TTM7812, 807TSZ4911, 807TUB5845, 807TSZ5042, 807TUV7315"/>
    <d v="2022-06-23T00:00:00"/>
    <n v="3514.8"/>
    <n v="5"/>
    <n v="0"/>
    <s v="NA"/>
    <n v="702.96"/>
    <n v="2811.84"/>
    <s v="$585.8 per unit"/>
  </r>
  <r>
    <n v="2"/>
    <s v="Klingon Button Duo Magnet"/>
    <n v="50"/>
    <x v="1"/>
    <s v="ACTECH"/>
    <m/>
    <m/>
    <d v="2021-10-11T00:00:00"/>
    <n v="12750"/>
    <n v="7"/>
    <n v="1275"/>
    <s v="NA"/>
    <n v="1639.2857142857142"/>
    <n v="11110.714285714286"/>
    <s v="$255 per unit"/>
  </r>
  <r>
    <n v="3"/>
    <s v="Switch II+ Magnet"/>
    <n v="40"/>
    <x v="1"/>
    <s v="ACTECH"/>
    <m/>
    <m/>
    <d v="2021-10-11T00:00:00"/>
    <n v="18081.2"/>
    <n v="7"/>
    <n v="1808.1200000000001"/>
    <s v="NA"/>
    <n v="2324.7257142857143"/>
    <n v="15756.474285714286"/>
    <s v="$452.03 per unit"/>
  </r>
  <r>
    <n v="4"/>
    <s v="150mm KLIPFORM A - 8m Lengths POWDER COATED"/>
    <n v="16"/>
    <x v="1"/>
    <s v="ACTECH"/>
    <m/>
    <m/>
    <d v="2021-10-11T00:00:00"/>
    <n v="9394.7199999999993"/>
    <n v="4"/>
    <n v="939.47199999999998"/>
    <s v="NA"/>
    <n v="2113.8119999999999"/>
    <n v="7280.9079999999994"/>
    <s v="$587.17 per unit"/>
  </r>
  <r>
    <n v="5"/>
    <s v="180mm KLIPFORM  A - 8m length POWDER COATED"/>
    <n v="16"/>
    <x v="1"/>
    <s v="ACTECH"/>
    <m/>
    <m/>
    <d v="2021-10-11T00:00:00"/>
    <n v="12464.64"/>
    <n v="4"/>
    <n v="1246.4639999999999"/>
    <s v="NA"/>
    <n v="2804.5439999999999"/>
    <n v="9660.0959999999995"/>
    <s v="$779.04 per unit"/>
  </r>
  <r>
    <n v="6"/>
    <s v="200mm KLIPFORM A - 8m length POWDER COATED"/>
    <n v="16"/>
    <x v="1"/>
    <s v="ACTECH"/>
    <m/>
    <m/>
    <d v="2021-10-11T00:00:00"/>
    <n v="14410.08"/>
    <n v="4"/>
    <n v="1441.008"/>
    <s v="NA"/>
    <n v="3242.268"/>
    <n v="11167.812"/>
    <s v="$900.63 per unit"/>
  </r>
  <r>
    <n v="7"/>
    <s v="250mm KLIPFORM A - 8m length POWDER COATED"/>
    <n v="4"/>
    <x v="1"/>
    <s v="ACTECH"/>
    <m/>
    <m/>
    <d v="2021-10-11T00:00:00"/>
    <n v="4100.28"/>
    <n v="4"/>
    <n v="410.02800000000002"/>
    <s v="NA"/>
    <n v="922.56299999999987"/>
    <n v="3177.7169999999996"/>
    <s v="$1025.07 per unit"/>
  </r>
  <r>
    <n v="8"/>
    <s v="300mm KLIPFORM A - 8m length POWDER COATED"/>
    <n v="4"/>
    <x v="1"/>
    <s v="ACTECH"/>
    <m/>
    <m/>
    <d v="2021-10-11T00:00:00"/>
    <n v="6303.24"/>
    <n v="4"/>
    <n v="630.32400000000007"/>
    <s v="NA"/>
    <n v="1418.2289999999998"/>
    <n v="4885.0110000000004"/>
    <s v="$1575.81 per unit"/>
  </r>
  <r>
    <n v="9"/>
    <s v="Switch II+ Magnet"/>
    <n v="10"/>
    <x v="1"/>
    <s v="ACTECH"/>
    <m/>
    <m/>
    <d v="2021-10-13T00:00:00"/>
    <n v="4520.3"/>
    <n v="7"/>
    <n v="452.03000000000003"/>
    <s v="NA"/>
    <n v="581.18142857142857"/>
    <n v="3939.1185714285716"/>
    <s v="$452.03 per unit"/>
  </r>
  <r>
    <n v="10"/>
    <s v="Switch II+ Magnet"/>
    <n v="40"/>
    <x v="1"/>
    <s v="ACTECH"/>
    <m/>
    <m/>
    <d v="2021-10-25T00:00:00"/>
    <n v="18081.2"/>
    <n v="7"/>
    <n v="1808.1200000000001"/>
    <s v="NA"/>
    <n v="2324.7257142857143"/>
    <n v="15756.474285714286"/>
    <s v="$452.03 per unit"/>
  </r>
  <r>
    <n v="11"/>
    <s v="Klingon Button Duo Magnet"/>
    <n v="33"/>
    <x v="1"/>
    <s v="ACTECH"/>
    <m/>
    <m/>
    <d v="2021-10-25T00:00:00"/>
    <n v="8415"/>
    <n v="7"/>
    <n v="841.5"/>
    <s v="NA"/>
    <n v="1081.9285714285713"/>
    <n v="7333.0714285714284"/>
    <s v="$255 per unit"/>
  </r>
  <r>
    <n v="12"/>
    <s v="Switch II+ Magnet"/>
    <n v="10"/>
    <x v="1"/>
    <s v="ACTECH"/>
    <m/>
    <m/>
    <d v="2021-10-25T00:00:00"/>
    <n v="4520.3"/>
    <n v="7"/>
    <n v="452.03000000000003"/>
    <s v="NA"/>
    <n v="581.18142857142857"/>
    <n v="3939.1185714285716"/>
    <s v="$452.03 per unit"/>
  </r>
  <r>
    <n v="13"/>
    <s v="Max Re-Bar Twin Reel Tie Gun RB441 (77RB441-KIT)"/>
    <n v="1"/>
    <x v="0"/>
    <s v="ACTECH"/>
    <m/>
    <m/>
    <d v="2021-11-01T00:00:00"/>
    <n v="10312.5"/>
    <n v="3"/>
    <n v="0"/>
    <s v="NA"/>
    <n v="3437.5"/>
    <n v="6875"/>
    <m/>
  </r>
  <r>
    <n v="14"/>
    <s v="H38 Hydraulic Steel Cutting Machine(7GMSH38)"/>
    <n v="1"/>
    <x v="2"/>
    <s v="ACTECH"/>
    <m/>
    <m/>
    <d v="2021-11-01T00:00:00"/>
    <n v="7500"/>
    <n v="10"/>
    <n v="750"/>
    <s v="NA"/>
    <n v="675"/>
    <n v="6825"/>
    <m/>
  </r>
  <r>
    <n v="15"/>
    <s v="Switch II+ Magnet"/>
    <n v="50"/>
    <x v="1"/>
    <s v="ACTECH"/>
    <m/>
    <m/>
    <d v="2021-11-23T00:00:00"/>
    <n v="22601.5"/>
    <n v="7"/>
    <n v="2260.15"/>
    <s v="NA"/>
    <n v="2905.9071428571428"/>
    <n v="19695.592857142856"/>
    <s v="$452.03 per unit"/>
  </r>
  <r>
    <n v="16"/>
    <s v="Switch II+ Magnet"/>
    <n v="50"/>
    <x v="1"/>
    <s v="ACTECH"/>
    <m/>
    <m/>
    <d v="2021-11-30T00:00:00"/>
    <n v="22601.5"/>
    <n v="7"/>
    <n v="2260.15"/>
    <s v="NA"/>
    <n v="2905.9071428571428"/>
    <n v="19695.592857142856"/>
    <s v="$452.03 per unit"/>
  </r>
  <r>
    <n v="17"/>
    <s v="Max Re-Bar Twin Reel Tie Gun RB611 (77RB611-KIT)"/>
    <n v="1"/>
    <x v="0"/>
    <s v="ACTECH"/>
    <m/>
    <m/>
    <d v="2021-12-20T00:00:00"/>
    <n v="10312.5"/>
    <n v="3"/>
    <n v="0"/>
    <s v="NA"/>
    <n v="3437.5"/>
    <n v="6875"/>
    <m/>
  </r>
  <r>
    <n v="18"/>
    <s v="B26 26mm Steel Bending Machine (7GMSB26)"/>
    <n v="1"/>
    <x v="2"/>
    <s v="ACTECH"/>
    <m/>
    <m/>
    <d v="2022-03-01T00:00:00"/>
    <n v="6251.18"/>
    <n v="10"/>
    <n v="625.11800000000005"/>
    <s v="NA"/>
    <n v="562.60619999999994"/>
    <n v="5688.5738000000001"/>
    <m/>
  </r>
  <r>
    <n v="19"/>
    <s v="180mm KLIPFORM A - 8m Length Powdercoated BLUE"/>
    <n v="10"/>
    <x v="1"/>
    <s v="ACTECH"/>
    <m/>
    <m/>
    <d v="2022-03-30T00:00:00"/>
    <n v="8180"/>
    <n v="4"/>
    <n v="818"/>
    <s v="NA"/>
    <n v="1840.5"/>
    <n v="6339.5"/>
    <s v="$818 per unit"/>
  </r>
  <r>
    <n v="20"/>
    <s v="200mm KLIPFORM A - 8m Length Powdercoated YELLOW"/>
    <n v="20"/>
    <x v="1"/>
    <s v="ACTECH"/>
    <m/>
    <m/>
    <d v="2022-03-30T00:00:00"/>
    <n v="17340"/>
    <n v="4"/>
    <n v="1734"/>
    <s v="NA"/>
    <n v="3901.5"/>
    <n v="13438.5"/>
    <s v="$867 per unit"/>
  </r>
  <r>
    <n v="21"/>
    <s v="250mm KLIPFORM A - 8m Length Powdercoated BLACK"/>
    <n v="14"/>
    <x v="1"/>
    <s v="ACTECH"/>
    <m/>
    <m/>
    <d v="2022-03-30T00:00:00"/>
    <n v="15068.62"/>
    <n v="4"/>
    <n v="1506.8620000000001"/>
    <s v="NA"/>
    <n v="3390.4395000000004"/>
    <n v="11678.1805"/>
    <s v="$1076.33 per unit"/>
  </r>
  <r>
    <n v="22"/>
    <s v="300mm KLIPFORM A - 8m Length Powdercoated ORANGE"/>
    <n v="4"/>
    <x v="1"/>
    <s v="ACTECH"/>
    <m/>
    <m/>
    <d v="2022-03-30T00:00:00"/>
    <n v="6303.24"/>
    <n v="4"/>
    <n v="630.32400000000007"/>
    <s v="NA"/>
    <n v="1418.2289999999998"/>
    <n v="4885.0110000000004"/>
    <s v="$1575.81 per unit"/>
  </r>
  <r>
    <n v="23"/>
    <s v="Switch II+ Magnet"/>
    <n v="100"/>
    <x v="1"/>
    <s v="ACTECH"/>
    <m/>
    <m/>
    <d v="2022-03-31T00:00:00"/>
    <n v="46500"/>
    <n v="7"/>
    <n v="4650"/>
    <s v="NA"/>
    <n v="5978.5714285714284"/>
    <n v="40521.428571428572"/>
    <s v="$465 per unit"/>
  </r>
  <r>
    <n v="24"/>
    <s v="Switch II+ Magnet"/>
    <n v="100"/>
    <x v="1"/>
    <s v="ACTECH"/>
    <m/>
    <m/>
    <d v="2022-05-16T00:00:00"/>
    <n v="46500"/>
    <n v="7"/>
    <n v="4650"/>
    <s v="NA"/>
    <n v="5978.5714285714284"/>
    <n v="40521.428571428572"/>
    <s v="$465 per unit"/>
  </r>
  <r>
    <n v="25"/>
    <s v="Max RB 441T Re-Bar Twin Reel Tie Gun (77RB441-KIT)"/>
    <n v="1"/>
    <x v="0"/>
    <s v="ACTECH"/>
    <m/>
    <m/>
    <d v="2022-06-01T00:00:00"/>
    <n v="10828.13"/>
    <n v="3"/>
    <n v="0"/>
    <s v="NA"/>
    <n v="3609.3766666666666"/>
    <n v="7218.7533333333322"/>
    <m/>
  </r>
  <r>
    <n v="26"/>
    <s v="Max Re-Bar Twin Reel Tie Gun RB611 (77RB611-KIT)"/>
    <n v="1"/>
    <x v="0"/>
    <s v="ACTECH"/>
    <m/>
    <m/>
    <d v="2022-06-14T00:00:00"/>
    <n v="10312.5"/>
    <n v="3"/>
    <n v="0"/>
    <s v="NA"/>
    <n v="3437.5"/>
    <n v="6875"/>
    <m/>
  </r>
  <r>
    <n v="27"/>
    <s v="DCA45-ESI Kubota Diesel Generator set "/>
    <n v="1"/>
    <x v="2"/>
    <s v="AUSTRALIAN POWER COMPANY"/>
    <m/>
    <n v="3854309"/>
    <d v="2021-10-22T00:00:00"/>
    <n v="13700"/>
    <n v="10"/>
    <n v="2740"/>
    <s v="NA"/>
    <n v="1096"/>
    <n v="12604"/>
    <m/>
  </r>
  <r>
    <n v="28"/>
    <s v="Kubota SHINDAWA Silenced Industrial Generator Model: DGM250MKII Rental Specification"/>
    <n v="1"/>
    <x v="2"/>
    <s v="AUSTRALIAN POWER COMPANY"/>
    <m/>
    <s v="                               D13755-000296"/>
    <d v="2022-05-31T00:00:00"/>
    <n v="9800"/>
    <n v="10"/>
    <n v="1960"/>
    <s v="NA"/>
    <n v="784"/>
    <n v="9016"/>
    <m/>
  </r>
  <r>
    <n v="29"/>
    <s v="Used Bobcat S150 Skid Steer Loader Yr 2003"/>
    <n v="1"/>
    <x v="2"/>
    <s v="CLARK EQUIPMENT SALES PTY LTD"/>
    <m/>
    <n v="526916121"/>
    <d v="2021-09-23T00:00:00"/>
    <n v="33800"/>
    <n v="3"/>
    <n v="6760"/>
    <s v="NA"/>
    <n v="9013.3333333333339"/>
    <n v="24786.666666666664"/>
    <m/>
  </r>
  <r>
    <n v="30"/>
    <s v="20 Foot General Purpose Used Container, 20GP Cargoworthy "/>
    <n v="1"/>
    <x v="3"/>
    <s v="GATEWAY CONTAINER PARK PTY LTD"/>
    <m/>
    <m/>
    <d v="2021-05-14T00:00:00"/>
    <n v="3300"/>
    <n v="5"/>
    <n v="660"/>
    <s v="NA"/>
    <n v="528"/>
    <n v="2772"/>
    <m/>
  </r>
  <r>
    <n v="31"/>
    <s v="40 Foot High Cube Used container, 40HC Cargoworthy Used wind &amp; water Tight"/>
    <n v="1"/>
    <x v="3"/>
    <s v="GATEWAY CONTAINER PARK PTY LTD"/>
    <m/>
    <m/>
    <d v="2021-09-13T00:00:00"/>
    <n v="17600"/>
    <n v="5"/>
    <n v="3520"/>
    <s v="NA"/>
    <n v="2816"/>
    <n v="14784"/>
    <m/>
  </r>
  <r>
    <n v="32"/>
    <s v="20 Foot General Purpose Used Container, 20GP USED Painted Surfmist"/>
    <n v="1"/>
    <x v="3"/>
    <s v="GATEWAY CONTAINER PARK PTY LTD"/>
    <m/>
    <m/>
    <d v="2022-02-08T00:00:00"/>
    <n v="4550"/>
    <n v="5"/>
    <n v="910"/>
    <s v="NA"/>
    <n v="728"/>
    <n v="3822"/>
    <m/>
  </r>
  <r>
    <n v="33"/>
    <s v="40 Foot High Cube Used Container, 40HC Cargoworthy Used"/>
    <n v="1"/>
    <x v="3"/>
    <s v="GATEWAY CONTAINER PARK PTY LTD"/>
    <m/>
    <m/>
    <d v="2022-06-03T00:00:00"/>
    <n v="8430"/>
    <n v="5"/>
    <n v="1686"/>
    <s v="NA"/>
    <n v="1348.8"/>
    <n v="7081.2"/>
    <m/>
  </r>
  <r>
    <n v="34"/>
    <s v="40 Foot High Cube Used Container, 40HC Cargoworthy Used"/>
    <n v="1"/>
    <x v="3"/>
    <s v="GATEWAY CONTAINER PARK PTY LTD"/>
    <m/>
    <m/>
    <d v="2022-06-03T00:00:00"/>
    <n v="8430"/>
    <n v="5"/>
    <n v="1686"/>
    <s v="NA"/>
    <n v="1348.8"/>
    <n v="7081.2"/>
    <m/>
  </r>
  <r>
    <n v="35"/>
    <s v="20HC Cargoworthy Used Container - 3201767 Wind &amp; Water Tight"/>
    <n v="1"/>
    <x v="3"/>
    <s v="GATEWAY CONTAINER PARK PTY LTD"/>
    <m/>
    <m/>
    <d v="2022-06-03T00:00:00"/>
    <n v="4200"/>
    <n v="5"/>
    <n v="840"/>
    <s v="NA"/>
    <n v="672"/>
    <n v="3528"/>
    <m/>
  </r>
  <r>
    <n v="36"/>
    <s v="SECOND HAND SCM SI320 Sliding Bed Panel  Saw"/>
    <n v="1"/>
    <x v="2"/>
    <s v="GREGORY MACHINERY PTY LTD"/>
    <m/>
    <m/>
    <d v="2022-06-13T00:00:00"/>
    <n v="6500"/>
    <n v="4"/>
    <n v="650"/>
    <s v="NA"/>
    <n v="1462.5"/>
    <n v="5037.5"/>
    <m/>
  </r>
  <r>
    <n v="37"/>
    <s v="PANELSAW PS-1810 240V #1x2"/>
    <n v="1"/>
    <x v="0"/>
    <s v="HARE &amp; FORBES PTY LTD"/>
    <m/>
    <m/>
    <d v="2021-09-14T00:00:00"/>
    <n v="2990"/>
    <n v="3"/>
    <n v="0"/>
    <s v="NA"/>
    <n v="996.66666666666663"/>
    <n v="1993.3333333333335"/>
    <m/>
  </r>
  <r>
    <n v="38"/>
    <s v="Diamond coring tool DD 30-W 230V"/>
    <n v="1"/>
    <x v="0"/>
    <s v="HILTI"/>
    <m/>
    <n v="17497"/>
    <d v="2022-03-30T00:00:00"/>
    <n v="5084.8"/>
    <n v="3"/>
    <n v="0"/>
    <s v="NA"/>
    <n v="1694.9333333333334"/>
    <n v="3389.8666666666668"/>
    <m/>
  </r>
  <r>
    <n v="39"/>
    <s v="TE 60-A36 CORDLESS ROTARY HAMMER "/>
    <n v="1"/>
    <x v="0"/>
    <s v="HILTI"/>
    <m/>
    <n v="51840"/>
    <d v="2022-02-10T00:00:00"/>
    <n v="3533.38"/>
    <n v="3"/>
    <n v="0"/>
    <s v="NA"/>
    <n v="1177.7933333333333"/>
    <n v="2355.586666666667"/>
    <m/>
  </r>
  <r>
    <n v="40"/>
    <s v="DD-WMS 100 WATER MANAGEMENT SYSTEM"/>
    <n v="1"/>
    <x v="0"/>
    <s v="HILTI"/>
    <m/>
    <n v="10043"/>
    <d v="2022-03-30T00:00:00"/>
    <n v="2792.56"/>
    <n v="10"/>
    <n v="0"/>
    <s v="NA"/>
    <n v="279.25599999999997"/>
    <n v="2513.3040000000001"/>
    <m/>
  </r>
  <r>
    <n v="41"/>
    <s v="TE 30-A36 CORDLESS ROTARY HAMMER"/>
    <n v="1"/>
    <x v="0"/>
    <s v="HILTI"/>
    <m/>
    <n v="146615"/>
    <d v="2022-04-22T00:00:00"/>
    <n v="2729.21"/>
    <n v="3"/>
    <n v="0"/>
    <s v="NA"/>
    <n v="909.73666666666668"/>
    <n v="1819.4733333333334"/>
    <m/>
  </r>
  <r>
    <n v="43"/>
    <s v="Plate 3 - Machined Back Blocks with Holes"/>
    <n v="4"/>
    <x v="0"/>
    <s v="MCMILLAN ENGINEERING GROUP"/>
    <m/>
    <m/>
    <d v="2021-06-22T00:00:00"/>
    <n v="9800"/>
    <n v="10"/>
    <n v="980"/>
    <s v="NA"/>
    <n v="882"/>
    <n v="8918"/>
    <s v="$2450 per unit"/>
  </r>
  <r>
    <n v="44"/>
    <s v="IHS 200t 4&quot; Load Return Cylinder with Lock Ring and_x000a_Swivel Load Cap"/>
    <n v="8"/>
    <x v="0"/>
    <s v="MCMILLAN ENGINEERING GROUP"/>
    <m/>
    <m/>
    <d v="2021-06-22T00:00:00"/>
    <n v="25200"/>
    <n v="5"/>
    <n v="2520"/>
    <s v="NA"/>
    <n v="4536"/>
    <n v="20664"/>
    <s v="$3150 per unit"/>
  </r>
  <r>
    <n v="45"/>
    <s v="Hydraulic Power Unit designed for Stressbeds with Mono_x000a_Jack Stressing and Multi Destress."/>
    <n v="1"/>
    <x v="2"/>
    <s v="MCMILLAN ENGINEERING GROUP"/>
    <m/>
    <m/>
    <d v="2021-06-22T00:00:00"/>
    <n v="8900"/>
    <n v="5"/>
    <n v="890"/>
    <s v="NA"/>
    <n v="1602"/>
    <n v="7298"/>
    <m/>
  </r>
  <r>
    <n v="47"/>
    <s v="Relocatable Container Dome Shelter - Premium Grade Container Dome 12m wide x 12m long x 3.6m apex "/>
    <n v="1"/>
    <x v="3"/>
    <s v="QLD SHADESHELTERS PTY LTD"/>
    <m/>
    <m/>
    <d v="2021-09-14T00:00:00"/>
    <n v="21503"/>
    <n v="5"/>
    <n v="4300.6000000000004"/>
    <s v="NA"/>
    <n v="3440.4800000000005"/>
    <n v="18062.52"/>
    <m/>
  </r>
  <r>
    <n v="49"/>
    <s v="Lenovo Thinkpad i7 CPU, 16GB Ram, 512SSD, 15.6” Display_x000a_NVIDIA Quadro T2000 4GB graphics card 3 year warranty"/>
    <n v="1"/>
    <x v="4"/>
    <s v="RUBIKS IT"/>
    <m/>
    <m/>
    <d v="2022-05-11T00:00:00"/>
    <n v="2461.81"/>
    <n v="4"/>
    <n v="0"/>
    <s v="NA"/>
    <n v="615.45249999999999"/>
    <n v="1846.3575000000001"/>
    <m/>
  </r>
  <r>
    <n v="50"/>
    <s v="Lenovo Yoga_x000a_Ryzen 5 2.3/4.2Ghz, 16GB ram, 512GB SSD, 13.3” display AMD"/>
    <n v="1"/>
    <x v="4"/>
    <s v="RUBIKS IT"/>
    <m/>
    <m/>
    <d v="2022-05-11T00:00:00"/>
    <n v="1623.63"/>
    <n v="4"/>
    <n v="0"/>
    <s v="NA"/>
    <n v="405.90750000000003"/>
    <n v="1217.7225000000001"/>
    <m/>
  </r>
  <r>
    <n v="51"/>
    <s v="Lenovo Thinkpad i7 CPU, 16GB Ram, 512SSD, 15.6” Display_x000a_NVIDIA Quadro T2000 4GB graphics card 3 year warranty"/>
    <n v="1"/>
    <x v="4"/>
    <s v="RUBIKS IT"/>
    <m/>
    <m/>
    <d v="2021-05-12T00:00:00"/>
    <n v="2461.81"/>
    <n v="4"/>
    <n v="0"/>
    <s v="NA"/>
    <n v="615.45249999999999"/>
    <n v="1846.3575000000001"/>
    <m/>
  </r>
  <r>
    <n v="52"/>
    <s v="Lenovo i5, 8GB Ram, 256GB SSD, 15.6”"/>
    <n v="1"/>
    <x v="4"/>
    <s v="RUBIKS IT"/>
    <m/>
    <m/>
    <d v="2022-06-15T00:00:00"/>
    <n v="1298.18"/>
    <n v="4"/>
    <n v="0"/>
    <s v="NA"/>
    <n v="324.54500000000002"/>
    <n v="973.63499999999999"/>
    <m/>
  </r>
  <r>
    <n v="53"/>
    <s v="10 MM PLATES 3000.0 X 9000.0  AS/NZS3678 GR250"/>
    <n v="6"/>
    <x v="1"/>
    <s v="INFRABUILD TRADING PTY LIMITED"/>
    <m/>
    <m/>
    <d v="2021-10-11T00:00:00"/>
    <n v="28095.200000000001"/>
    <n v="10"/>
    <n v="2809.5200000000004"/>
    <s v="NA"/>
    <n v="2528.5680000000002"/>
    <n v="25566.632000000001"/>
    <s v="$4682.53 per unit"/>
  </r>
  <r>
    <n v="54"/>
    <s v="10 MM PLATES 3000.0 X 9000.0  AS/NZS3678 GR250"/>
    <n v="6"/>
    <x v="1"/>
    <s v="INFRABUILD TRADING PTY LIMITED"/>
    <m/>
    <m/>
    <d v="2021-10-12T00:00:00"/>
    <n v="28095.200000000001"/>
    <n v="10"/>
    <n v="2809.5200000000004"/>
    <s v="NA"/>
    <n v="2528.5680000000002"/>
    <n v="25566.632000000001"/>
    <s v="$4682.53 per unit"/>
  </r>
  <r>
    <n v="55"/>
    <s v="10 MM PLATES 3000.0 X 9000.0  AS/NZS3678 GR250"/>
    <n v="6"/>
    <x v="1"/>
    <s v="INFRABUILD TRADING PTY LIMITED"/>
    <m/>
    <m/>
    <d v="2022-03-09T00:00:00"/>
    <n v="29264.5"/>
    <n v="10"/>
    <n v="2926.4500000000003"/>
    <s v="NA"/>
    <n v="2633.8049999999998"/>
    <n v="26630.695"/>
    <s v="$4877.42 per unit"/>
  </r>
  <r>
    <n v="56"/>
    <s v="10MM GR 250"/>
    <n v="2"/>
    <x v="1"/>
    <s v="TOTAL STEEL OF AUSTRALIA PTY LTD"/>
    <m/>
    <m/>
    <d v="2022-04-14T00:00:00"/>
    <n v="10970.46"/>
    <n v="10"/>
    <n v="1097.046"/>
    <s v="NA"/>
    <n v="987.34139999999991"/>
    <n v="9983.1185999999998"/>
    <s v="$5485.23 per unit"/>
  </r>
  <r>
    <n v="59"/>
    <s v="6MM GR250"/>
    <n v="8"/>
    <x v="1"/>
    <s v="TOTAL STEEL OF AUSTRALIA PTY LTD"/>
    <m/>
    <m/>
    <d v="2022-06-22T00:00:00"/>
    <n v="18041.52"/>
    <n v="10"/>
    <n v="1804.152"/>
    <s v="NA"/>
    <n v="1623.7368000000001"/>
    <n v="16417.783200000002"/>
    <s v="$2255.19 per unit"/>
  </r>
  <r>
    <n v="60"/>
    <s v="Milwaukee M18 5.0Ah FUEL 6 Piece BRUSHLESS Combo Kit M18FPP6F2-503B"/>
    <n v="1"/>
    <x v="0"/>
    <s v="TRADE TOOLS PTY LTD"/>
    <m/>
    <m/>
    <d v="2022-04-22T00:00:00"/>
    <n v="1712"/>
    <n v="3"/>
    <n v="0"/>
    <s v="NA"/>
    <n v="570.66666666666663"/>
    <n v="1141.3333333333335"/>
    <m/>
  </r>
  <r>
    <n v="61"/>
    <s v="Renegade Industrial 4000PSI 13HP 15LPM Pressure Cleaner GX390 Honda 1.5 LPM Air Pump - PRO4000H"/>
    <n v="1"/>
    <x v="0"/>
    <s v="TRADE TOOLS PTY LTD"/>
    <m/>
    <m/>
    <d v="2021-12-07T00:00:00"/>
    <n v="1898"/>
    <n v="5"/>
    <n v="0"/>
    <s v="NA"/>
    <n v="379.6"/>
    <n v="1518.4"/>
    <m/>
  </r>
  <r>
    <n v="62"/>
    <s v="FLXEV506VIBRATOR SHAFT HARD NOSE 50MM"/>
    <n v="1"/>
    <x v="0"/>
    <s v="LYNDONS PTY LTD"/>
    <m/>
    <m/>
    <d v="2021-05-27T00:00:00"/>
    <n v="736"/>
    <n v="3"/>
    <n v="0"/>
    <s v="NA"/>
    <n v="245.33333333333334"/>
    <n v="490.66666666666663"/>
    <m/>
  </r>
  <r>
    <n v="63"/>
    <s v="FLXAVE2062POWER UNIT 5.5HP HONDA DP4HE"/>
    <n v="1"/>
    <x v="0"/>
    <s v="LYNDONS PTY LTD"/>
    <m/>
    <m/>
    <d v="2021-05-27T00:00:00"/>
    <n v="785"/>
    <n v="3"/>
    <n v="0"/>
    <s v="NA"/>
    <n v="261.66666666666669"/>
    <n v="523.33333333333326"/>
    <m/>
  </r>
  <r>
    <n v="64"/>
    <s v="DEMB10880FLOOR GRINDER 220-240V HUSQVAR"/>
    <n v="1"/>
    <x v="0"/>
    <s v="LYNDONS PTY LTD"/>
    <m/>
    <m/>
    <d v="2021-10-13T00:00:00"/>
    <n v="3959.28"/>
    <n v="3"/>
    <n v="0"/>
    <s v="NA"/>
    <n v="1319.76"/>
    <n v="2639.5200000000004"/>
    <m/>
  </r>
  <r>
    <n v="65"/>
    <s v="FLXTM40TROWEL MACHINE FLEXTOOL 40&quot;"/>
    <n v="1"/>
    <x v="0"/>
    <s v="LYNDONS PTY LTD"/>
    <m/>
    <m/>
    <d v="2021-10-21T00:00:00"/>
    <n v="1850"/>
    <n v="5"/>
    <n v="0"/>
    <s v="NA"/>
    <n v="370"/>
    <n v="1480"/>
    <m/>
  </r>
  <r>
    <n v="66"/>
    <s v="FLXTM24PTROWEL MACHINE FLEXTOOL PRO-FI"/>
    <n v="1"/>
    <x v="0"/>
    <s v="LYNDONS PTY LTD"/>
    <m/>
    <m/>
    <d v="2021-10-18T00:00:00"/>
    <n v="1750"/>
    <n v="5"/>
    <n v="0"/>
    <s v="NA"/>
    <n v="350"/>
    <n v="1400"/>
    <m/>
  </r>
  <r>
    <n v="67"/>
    <s v="MFTM34TROWEL MACHINE 34 INCH MASTER"/>
    <n v="1"/>
    <x v="0"/>
    <s v="LYNDONS PTY LTD"/>
    <m/>
    <m/>
    <d v="2021-11-23T00:00:00"/>
    <n v="2020"/>
    <n v="5"/>
    <n v="0"/>
    <s v="NA"/>
    <n v="404"/>
    <n v="1616"/>
    <m/>
  </r>
  <r>
    <n v="68"/>
    <s v="TROWEL MACHINE MUL W/B 36&quot;"/>
    <n v="1"/>
    <x v="0"/>
    <s v="LYNDONS PTY LTD"/>
    <m/>
    <m/>
    <d v="2022-03-03T00:00:00"/>
    <n v="4168.1400000000003"/>
    <n v="5"/>
    <n v="0"/>
    <s v="NA"/>
    <n v="833.62800000000004"/>
    <n v="3334.5120000000002"/>
    <m/>
  </r>
  <r>
    <n v="69"/>
    <s v="TROWEL MACHINE MUL W/B 36&quot;"/>
    <n v="1"/>
    <x v="0"/>
    <s v="LYNDONS PTY LTD"/>
    <m/>
    <m/>
    <d v="2022-03-03T00:00:00"/>
    <n v="4168.1400000000003"/>
    <n v="5"/>
    <n v="0"/>
    <s v="NA"/>
    <n v="833.62800000000004"/>
    <n v="3334.5120000000002"/>
    <m/>
  </r>
  <r>
    <n v="70"/>
    <s v="TROWEL MACHINE - MUL W/B 24&quot; - 5.5 HP HONDA"/>
    <n v="1"/>
    <x v="0"/>
    <s v="LYNDONS PTY LTD"/>
    <m/>
    <m/>
    <d v="2022-05-26T00:00:00"/>
    <n v="3790"/>
    <n v="5"/>
    <n v="0"/>
    <s v="NA"/>
    <n v="758"/>
    <n v="3032"/>
    <m/>
  </r>
  <r>
    <n v="71"/>
    <s v="TROWEL MACHINE - MUL W/B 24&quot; - 5.5 HP HONDA"/>
    <n v="1"/>
    <x v="0"/>
    <s v="LYNDONS PTY LTD"/>
    <m/>
    <m/>
    <d v="2022-05-26T00:00:00"/>
    <n v="3790"/>
    <n v="5"/>
    <n v="0"/>
    <s v="NA"/>
    <n v="758"/>
    <n v="3032"/>
    <m/>
  </r>
  <r>
    <n v="72"/>
    <s v="VIBRATOR HANDY VIBE MASTER FINISH HONDA 4STR"/>
    <n v="1"/>
    <x v="0"/>
    <s v="LYNDONS PTY LTD"/>
    <m/>
    <m/>
    <d v="2022-06-16T00:00:00"/>
    <n v="1498.92"/>
    <n v="5"/>
    <n v="0"/>
    <s v="NA"/>
    <n v="299.78399999999999"/>
    <n v="1199.136"/>
    <m/>
  </r>
  <r>
    <n v="73"/>
    <s v=" ADVANCE II 250 REMOTE-15/32A  WELDER"/>
    <n v="1"/>
    <x v="0"/>
    <s v="BOC"/>
    <m/>
    <m/>
    <d v="2021-10-05T00:00:00"/>
    <n v="1929"/>
    <n v="10"/>
    <n v="0"/>
    <s v="NA"/>
    <n v="192.9"/>
    <n v="1736.1"/>
    <m/>
  </r>
  <r>
    <n v="74"/>
    <s v="MANUFACTURE CHAIN SLING GRADE 100 - 10MM X 4LEG X 6.4M COMES WITH CLEVIS GRAB SHORTENERS OFF 3 LINKS AND CLEVIS SELF LOCKING HOOKS S/N ALS4212"/>
    <n v="1"/>
    <x v="0"/>
    <s v="ABSOLUTE LIFTING &amp; SAFETY"/>
    <m/>
    <m/>
    <d v="2021-09-24T00:00:00"/>
    <n v="1395"/>
    <n v="5"/>
    <n v="139.5"/>
    <s v="NA"/>
    <n v="251.1"/>
    <n v="1143.9000000000001"/>
    <m/>
  </r>
  <r>
    <n v="75"/>
    <s v="CHAIN SLING G100 16MM 2 LEG 8M LEG LENGTH C/W LARGE MASTERLINK, CLEVIS GRAB SHORTENERS OFF 4_x000a_LINKS &amp; CLEVIS SELF LOCKING HOOKS."/>
    <n v="2"/>
    <x v="0"/>
    <s v="ABSOLUTE LIFTING &amp; SAFETY"/>
    <m/>
    <m/>
    <d v="2021-10-13T00:00:00"/>
    <n v="4310"/>
    <n v="5"/>
    <n v="431"/>
    <s v="NA"/>
    <n v="775.8"/>
    <n v="3534.2"/>
    <s v="$2155 per unit"/>
  </r>
  <r>
    <n v="76"/>
    <s v="SNATCH BLOCK C/W SHACKLE 15T TO SUIT 19-22MM WIRE ROPE SHEAVE DIA 250MM"/>
    <n v="2"/>
    <x v="0"/>
    <s v="ABSOLUTE LIFTING &amp; SAFETY"/>
    <m/>
    <m/>
    <d v="2021-11-15T00:00:00"/>
    <n v="3010"/>
    <n v="5"/>
    <n v="301"/>
    <s v="NA"/>
    <n v="541.79999999999995"/>
    <n v="2468.1999999999998"/>
    <s v="$1505 per unit"/>
  </r>
  <r>
    <n v="77"/>
    <s v="MOD12 Spreader Beam consisting of: • 2 x End Units • 2 x Drop Links • 1 x 0.5m Strut • 1 x 0.75m Strut • 1 x 1m Strut • 3 x 1.5m Struts"/>
    <n v="1"/>
    <x v="0"/>
    <s v="ABSOLUTE LIFTING &amp; SAFETY"/>
    <m/>
    <m/>
    <d v="2022-05-18T00:00:00"/>
    <n v="6628"/>
    <n v="5"/>
    <n v="662.80000000000007"/>
    <s v="NA"/>
    <n v="1193.04"/>
    <n v="5434.96"/>
    <m/>
  </r>
  <r>
    <n v="81"/>
    <s v="DeWALT 18V 5.0Ah 10 Piece Combo Kit"/>
    <n v="1"/>
    <x v="0"/>
    <s v="PLASTIC SOLUTIONS AUSTRALIA PTY LTD"/>
    <m/>
    <m/>
    <d v="2021-06-15T00:00:00"/>
    <n v="2351.88"/>
    <n v="3"/>
    <n v="0"/>
    <s v="NA"/>
    <n v="783.96"/>
    <n v="1567.92"/>
    <m/>
  </r>
  <r>
    <n v="82"/>
    <s v="Paslode IM250S (B20710) Impulse 16/14Ga 250S Bradder Finish Nailer Combo Kit "/>
    <n v="1"/>
    <x v="0"/>
    <s v="PLASTIC SOLUTIONS AUSTRALIA PTY LTD"/>
    <m/>
    <m/>
    <d v="2021-06-15T00:00:00"/>
    <n v="961.49"/>
    <n v="3"/>
    <n v="0"/>
    <s v="NA"/>
    <n v="320.49666666666667"/>
    <n v="640.99333333333334"/>
    <m/>
  </r>
  <r>
    <n v="83"/>
    <s v="Loncin 12KVA Generator 19HP 10500 Watts Max Elec Start 48L Tank 160KG"/>
    <n v="1"/>
    <x v="2"/>
    <s v="PLASTIC SOLUTIONS AUSTRALIA PTY LTD"/>
    <m/>
    <m/>
    <d v="2021-07-02T00:00:00"/>
    <n v="2952.28"/>
    <n v="10"/>
    <n v="590.45600000000002"/>
    <s v="NA"/>
    <n v="236.1824"/>
    <n v="2716.0976000000001"/>
    <m/>
  </r>
  <r>
    <n v="84"/>
    <s v="PSA LiftMX Clutch - 10 Tonne"/>
    <n v="4"/>
    <x v="0"/>
    <s v="PLASTIC SOLUTIONS AUSTRALIA PTY LTD"/>
    <m/>
    <m/>
    <d v="2021-07-21T00:00:00"/>
    <n v="2320"/>
    <n v="5"/>
    <n v="232"/>
    <s v="NA"/>
    <n v="417.6"/>
    <n v="1902.4"/>
    <s v="$580 per unit"/>
  </r>
  <r>
    <n v="85"/>
    <s v="PSA LiftMX Clutch - 10 Tonne"/>
    <n v="4"/>
    <x v="0"/>
    <s v="PLASTIC SOLUTIONS AUSTRALIA PTY LTD"/>
    <m/>
    <m/>
    <d v="2021-10-15T00:00:00"/>
    <n v="2320"/>
    <n v="5"/>
    <n v="232"/>
    <s v="NA"/>
    <n v="417.6"/>
    <n v="1902.4"/>
    <s v="$580 per unit"/>
  </r>
  <r>
    <n v="88"/>
    <s v="PANEL RACKS"/>
    <n v="10"/>
    <x v="5"/>
    <s v="LTE STRUCTURES"/>
    <m/>
    <m/>
    <s v="NA"/>
    <n v="93358.22"/>
    <n v="10"/>
    <n v="9335.8220000000001"/>
    <s v="NA"/>
    <n v="8402.2397999999994"/>
    <n v="84955.980200000005"/>
    <s v="Refer Workings worksheet"/>
  </r>
  <r>
    <n v="89"/>
    <s v="&quot;A&quot; FRAMES"/>
    <n v="8"/>
    <x v="5"/>
    <s v="LTE STRUCTURES"/>
    <m/>
    <m/>
    <d v="2022-06-03T00:00:00"/>
    <n v="8030"/>
    <n v="10"/>
    <n v="803"/>
    <s v="NA"/>
    <n v="722.7"/>
    <n v="7307.3"/>
    <s v="Refer Workings workshe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251"/>
    <s v="10T Edge Lift Cluthches with 16MM G100 3M Chain"/>
    <n v="4"/>
    <x v="0"/>
    <s v="ABSOLUTE LIFTING &amp; SAFETY"/>
    <m/>
    <m/>
    <d v="2024-07-04T00:00:00"/>
    <n v="2780"/>
    <n v="5"/>
    <n v="0"/>
    <n v="556"/>
    <n v="556"/>
    <n v="2224"/>
    <n v="695"/>
    <n v="1"/>
  </r>
  <r>
    <n v="252"/>
    <s v="PSA LiftMX Clutch - 10 Tonne"/>
    <n v="4"/>
    <x v="0"/>
    <s v="PLASTIC SOLUTIONS AUSTRALIA PTY LTD"/>
    <m/>
    <m/>
    <d v="2024-07-04T00:00:00"/>
    <n v="2320"/>
    <n v="5"/>
    <n v="0"/>
    <n v="464"/>
    <n v="464"/>
    <n v="1856"/>
    <s v="$580 each"/>
    <n v="1"/>
  </r>
  <r>
    <n v="253"/>
    <s v="Compressor Teco Electric Motor 320L/Min 3.2 HP75 L "/>
    <n v="1"/>
    <x v="1"/>
    <s v="TOTAL TOOLS"/>
    <m/>
    <m/>
    <d v="2024-07-05T00:00:00"/>
    <n v="1999"/>
    <n v="5"/>
    <n v="0"/>
    <n v="399.8"/>
    <n v="399.8"/>
    <n v="1599.2"/>
    <m/>
    <n v="1"/>
  </r>
  <r>
    <n v="254"/>
    <s v="Trowel Machine - Forza Pro 36&quot; Honda GX200"/>
    <n v="2"/>
    <x v="0"/>
    <s v="ALLCON GROUP PTY LTD"/>
    <m/>
    <m/>
    <d v="2024-07-08T00:00:00"/>
    <n v="4800"/>
    <n v="5"/>
    <n v="0"/>
    <n v="960"/>
    <n v="960"/>
    <n v="3840"/>
    <s v="$2400 each"/>
    <n v="1"/>
  </r>
  <r>
    <n v="255"/>
    <s v="DRILL MAGNETIC BASE 75MM 1650W 3MT 110MM DOC,_x000a_PRO 75 HOLEMAKER"/>
    <n v="1"/>
    <x v="0"/>
    <s v="TOTAL TOOLS"/>
    <m/>
    <m/>
    <d v="2024-07-10T00:00:00"/>
    <n v="4645.28"/>
    <n v="5"/>
    <n v="0"/>
    <n v="929.05599999999993"/>
    <n v="929.05599999999993"/>
    <n v="3716.2239999999997"/>
    <m/>
    <n v="1"/>
  </r>
  <r>
    <n v="256"/>
    <s v="VIBRATOR PETROL 9000RPM 4 STROKE HONDA,_x000a_POKERVIBE MASTERFINISH"/>
    <n v="1"/>
    <x v="0"/>
    <s v="TOTAL TOOLS"/>
    <m/>
    <m/>
    <d v="2024-07-11T00:00:00"/>
    <n v="771.82"/>
    <n v="5"/>
    <n v="0"/>
    <n v="154.364"/>
    <n v="154.364"/>
    <n v="617.45600000000002"/>
    <m/>
    <n v="1"/>
  </r>
  <r>
    <n v="257"/>
    <s v="SAW MITRE COMP-GL 305MM 2000W 104X335MM BRK_x000a_LSR DBL +GTA3800 BOSCH"/>
    <n v="1"/>
    <x v="0"/>
    <s v="TOTAL TOOLS"/>
    <m/>
    <m/>
    <d v="2024-07-11T00:00:00"/>
    <n v="1294.55"/>
    <n v="5"/>
    <n v="0"/>
    <n v="258.90999999999997"/>
    <n v="258.90999999999997"/>
    <n v="1035.6399999999999"/>
    <m/>
    <n v="1"/>
  </r>
  <r>
    <n v="258"/>
    <s v="CKROF20 Clamshell gate , CKROF Concrete Kibble Laydown -_x000a_Clamshell Gate"/>
    <n v="1"/>
    <x v="0"/>
    <s v="ABSOLUTE LIFTING &amp; SAFETY"/>
    <m/>
    <m/>
    <d v="2024-07-12T00:00:00"/>
    <n v="7980"/>
    <n v="5"/>
    <n v="0"/>
    <n v="1596"/>
    <n v="1596"/>
    <n v="6384"/>
    <m/>
    <n v="1"/>
  </r>
  <r>
    <n v="259"/>
    <s v="SAW TABLE 254MM 1800W 460X79MM GTS10J + GTA600_x000a_BOSCH"/>
    <n v="1"/>
    <x v="0"/>
    <s v="TOTAL TOOLS"/>
    <m/>
    <m/>
    <d v="2024-07-16T00:00:00"/>
    <n v="817.27"/>
    <n v="5"/>
    <n v="0"/>
    <n v="163.45400000000001"/>
    <n v="163.45400000000001"/>
    <n v="653.81600000000003"/>
    <m/>
    <n v="1"/>
  </r>
  <r>
    <n v="260"/>
    <s v="BOC SMOOTHARC 180 MIG LCD 10A c/w TORCH COMPLETE ABIMIG AT355LW 4M"/>
    <n v="1"/>
    <x v="0"/>
    <s v="BOC"/>
    <m/>
    <m/>
    <d v="2024-07-17T00:00:00"/>
    <n v="1569.83"/>
    <n v="5"/>
    <n v="0"/>
    <n v="313.96600000000001"/>
    <n v="313.96600000000001"/>
    <n v="1255.864"/>
    <m/>
    <n v="1"/>
  </r>
  <r>
    <n v="261"/>
    <s v="35t hoist inverter"/>
    <n v="1"/>
    <x v="1"/>
    <s v="CRANEMAINTAN"/>
    <m/>
    <m/>
    <d v="2024-07-18T00:00:00"/>
    <n v="13500"/>
    <n v="10"/>
    <n v="0"/>
    <n v="1350"/>
    <n v="1350"/>
    <n v="12150"/>
    <m/>
    <n v="1"/>
  </r>
  <r>
    <n v="262"/>
    <s v="FLX PROFINSH TROWEL W/B PETROL 24"/>
    <n v="1"/>
    <x v="0"/>
    <s v="Premier Concrete Equipment"/>
    <m/>
    <s v="Y2310085"/>
    <d v="2024-07-22T00:00:00"/>
    <n v="2500"/>
    <n v="5"/>
    <n v="0"/>
    <n v="500"/>
    <n v="500"/>
    <n v="2000"/>
    <m/>
    <n v="1"/>
  </r>
  <r>
    <n v="263"/>
    <s v="Switch II+ Magnet"/>
    <n v="50"/>
    <x v="0"/>
    <s v="ACTECH"/>
    <m/>
    <m/>
    <d v="2024-07-22T00:00:00"/>
    <n v="23250"/>
    <n v="7"/>
    <n v="2325"/>
    <n v="2989.2857142857142"/>
    <n v="2989.2857142857142"/>
    <n v="20260.714285714286"/>
    <m/>
    <n v="1"/>
  </r>
  <r>
    <n v="264"/>
    <s v="FLX PROFINSH TROWEL W/B PETROL 24 S"/>
    <n v="1"/>
    <x v="0"/>
    <s v="Premier Concrete Equipment"/>
    <m/>
    <s v="Y2310019"/>
    <d v="2024-07-24T00:00:00"/>
    <n v="2500"/>
    <n v="5"/>
    <n v="0"/>
    <n v="500"/>
    <n v="500"/>
    <n v="2000"/>
    <m/>
    <n v="1"/>
  </r>
  <r>
    <n v="265"/>
    <s v="RIGGING BOX 602 - CW SET"/>
    <n v="1"/>
    <x v="0"/>
    <s v="ABSOLUTE LIFTING &amp; SAFETY"/>
    <m/>
    <m/>
    <d v="2024-07-25T00:00:00"/>
    <n v="15377"/>
    <n v="5"/>
    <n v="0"/>
    <n v="3075.4"/>
    <n v="3075.4"/>
    <n v="12301.6"/>
    <m/>
    <n v="1"/>
  </r>
  <r>
    <n v="266"/>
    <s v="RIGGING BOX 601 - CW SET"/>
    <n v="1"/>
    <x v="0"/>
    <s v="ABSOLUTE LIFTING &amp; SAFETY"/>
    <m/>
    <m/>
    <d v="2024-07-25T00:00:00"/>
    <n v="15377"/>
    <n v="5"/>
    <n v="0"/>
    <n v="3075.4"/>
    <n v="3075.4"/>
    <n v="12301.6"/>
    <m/>
    <n v="1"/>
  </r>
  <r>
    <n v="267"/>
    <s v="NEW MINI SUNWARD 5T CRAWLER CRANE  2024 Mod: SWTC5D"/>
    <n v="1"/>
    <x v="1"/>
    <s v="GLEASON CRANES SALES AND RENTALS GROUP PTY LTD"/>
    <m/>
    <m/>
    <d v="2024-07-26T00:00:00"/>
    <n v="195000"/>
    <n v="10"/>
    <n v="19500"/>
    <n v="17550"/>
    <n v="17550"/>
    <n v="177450"/>
    <m/>
    <n v="1"/>
  </r>
  <r>
    <n v="268"/>
    <s v="Assorted DOKA panels"/>
    <m/>
    <x v="0"/>
    <s v="DOKA"/>
    <m/>
    <m/>
    <d v="2024-07-30T00:00:00"/>
    <n v="332279.09999999998"/>
    <n v="5"/>
    <n v="33227.910000000003"/>
    <n v="59810.23799999999"/>
    <n v="59810.23799999999"/>
    <n v="272468.86199999996"/>
    <m/>
    <n v="1"/>
  </r>
  <r>
    <n v="269"/>
    <s v="Assorted DOKA panels and accessories"/>
    <m/>
    <x v="0"/>
    <s v="DOKA"/>
    <m/>
    <m/>
    <d v="2024-07-30T00:00:00"/>
    <n v="621682.30000000005"/>
    <n v="5"/>
    <n v="62168.23"/>
    <n v="111902.81400000001"/>
    <n v="111902.81400000001"/>
    <n v="509779.48600000003"/>
    <m/>
    <n v="1"/>
  </r>
  <r>
    <n v="270"/>
    <s v="CHAIN BLOCK 2T X 6M KITO M3 (47882) MADE IN JAPAN"/>
    <n v="4"/>
    <x v="0"/>
    <s v="ABSOLUTE LIFTING &amp; SAFETY"/>
    <m/>
    <m/>
    <d v="2024-07-31T00:00:00"/>
    <n v="3740"/>
    <n v="5"/>
    <n v="0"/>
    <n v="748"/>
    <n v="748"/>
    <n v="2992"/>
    <s v="$935 each"/>
    <n v="1"/>
  </r>
  <r>
    <n v="271"/>
    <s v="MANUFACTURE CHAIN SLING GRADE 100 - 22MM 1LEG 1.2M CUT CHAIN COMES WITH 25 TON SCREW PIN BOW SHACKLE AND CLEVIS GRAB HOOK OFF 3 LINKS AT TOP &amp;"/>
    <n v="4"/>
    <x v="0"/>
    <s v="ABSOLUTE LIFTING &amp; SAFETY"/>
    <m/>
    <m/>
    <d v="2024-08-06T00:00:00"/>
    <n v="4900"/>
    <n v="5"/>
    <n v="0"/>
    <n v="980"/>
    <n v="980"/>
    <n v="3920"/>
    <s v="$1225 each"/>
    <n v="1"/>
  </r>
  <r>
    <n v="272"/>
    <s v="20 Series Pin Head Lifting Clutch"/>
    <n v="11"/>
    <x v="0"/>
    <s v="ABSOLUTE LIFTING &amp; SAFETY"/>
    <m/>
    <m/>
    <d v="2024-08-08T00:00:00"/>
    <n v="12196.8"/>
    <n v="5"/>
    <n v="0"/>
    <n v="2439.3599999999997"/>
    <n v="2439.3599999999997"/>
    <n v="9757.4399999999987"/>
    <s v="$1,108-80 each"/>
    <n v="1"/>
  </r>
  <r>
    <n v="273"/>
    <s v="PSA LiftMX Clutch - 10 Tonne"/>
    <n v="10"/>
    <x v="0"/>
    <s v="ABSOLUTE LIFTING &amp; SAFETY"/>
    <m/>
    <m/>
    <d v="2024-08-08T00:00:00"/>
    <n v="5800"/>
    <n v="5"/>
    <n v="0"/>
    <n v="1160"/>
    <n v="1160"/>
    <n v="4640"/>
    <s v="$580 each"/>
    <n v="1"/>
  </r>
  <r>
    <n v="274"/>
    <s v="One unit Cummins 250/275KVA Industrial Diesel Generator Model: 223-DFAC"/>
    <n v="1"/>
    <x v="1"/>
    <s v="AUSTRALIAN POWER COMPANY"/>
    <m/>
    <s v="G00A008156"/>
    <d v="2024-08-09T00:00:00"/>
    <n v="28800"/>
    <n v="10"/>
    <n v="0"/>
    <n v="28800"/>
    <n v="5760"/>
    <n v="0"/>
    <s v="Traded in for DENYO DCA-100 USI 80KVA"/>
    <n v="0"/>
  </r>
  <r>
    <n v="275"/>
    <s v="COMPLETE SHINDAIWADGW420 DIESEL WELDER set"/>
    <n v="1"/>
    <x v="1"/>
    <s v="South Pacific Welding"/>
    <m/>
    <m/>
    <d v="2024-08-19T00:00:00"/>
    <n v="33390.18"/>
    <n v="5"/>
    <n v="0"/>
    <n v="6678.0360000000001"/>
    <n v="6678.0360000000001"/>
    <n v="26712.144"/>
    <m/>
    <n v="1"/>
  </r>
  <r>
    <n v="276"/>
    <s v="100 x 50 PF CHANNEL 9M"/>
    <n v="100"/>
    <x v="2"/>
    <s v="TOTAL STEEL OF AUSTRALIA PTY LTD"/>
    <m/>
    <m/>
    <d v="2024-08-20T00:00:00"/>
    <n v="14660"/>
    <n v="5"/>
    <n v="1438"/>
    <n v="2644.4"/>
    <n v="2644.4"/>
    <n v="12015.6"/>
    <s v="$143.80 each"/>
    <n v="1"/>
  </r>
  <r>
    <n v="277"/>
    <s v="BROBO SA 350 SEMI AUTO COLDSAW c/w conveyor and roller"/>
    <n v="1"/>
    <x v="1"/>
    <s v="Hare &amp; Forbes Machinery House"/>
    <m/>
    <m/>
    <d v="2024-08-21T00:00:00"/>
    <n v="34840"/>
    <n v="5"/>
    <n v="3840"/>
    <n v="6200"/>
    <n v="6200"/>
    <n v="28640"/>
    <m/>
    <n v="1"/>
  </r>
  <r>
    <n v="278"/>
    <s v="Complete  Motorola R7 400-527 Enable comm system"/>
    <n v="1"/>
    <x v="0"/>
    <s v="TRANS COMMUNICATIONS"/>
    <m/>
    <m/>
    <d v="2024-08-21T00:00:00"/>
    <n v="10789.8"/>
    <n v="5"/>
    <n v="0"/>
    <n v="2157.96"/>
    <n v="2157.96"/>
    <n v="8631.84"/>
    <m/>
    <n v="1"/>
  </r>
  <r>
    <n v="279"/>
    <s v="M20 ORBIPLATE BOLT KIT HOT DIP GALVANISED"/>
    <n v="2000"/>
    <x v="2"/>
    <s v="ITW"/>
    <m/>
    <m/>
    <d v="2024-08-22T00:00:00"/>
    <n v="63000"/>
    <n v="5"/>
    <n v="3150"/>
    <n v="11970"/>
    <n v="11970"/>
    <n v="51030"/>
    <s v="$31.50 each"/>
    <n v="1"/>
  </r>
  <r>
    <n v="280"/>
    <s v="T127 Flat Top 12 X 7 Trailer"/>
    <n v="1"/>
    <x v="1"/>
    <s v="Stonegate International"/>
    <m/>
    <m/>
    <d v="2024-08-23T00:00:00"/>
    <n v="7699"/>
    <n v="10"/>
    <n v="769.9"/>
    <n v="692.91000000000008"/>
    <n v="692.91000000000008"/>
    <n v="7006.09"/>
    <m/>
    <n v="1"/>
  </r>
  <r>
    <n v="281"/>
    <s v="55 TON LOAD CELL RADIO LINK PLUS (RLP55T)"/>
    <n v="1"/>
    <x v="0"/>
    <s v="ABSOLUTE LIFTING &amp; SAFETY"/>
    <m/>
    <m/>
    <d v="2024-08-28T00:00:00"/>
    <n v="8165"/>
    <n v="5"/>
    <n v="0"/>
    <n v="1633"/>
    <n v="1633"/>
    <n v="6532"/>
    <m/>
    <n v="1"/>
  </r>
  <r>
    <n v="282"/>
    <s v="Genelite 7.5KVA Generator 6KW"/>
    <n v="1"/>
    <x v="1"/>
    <s v="TRADE TOOLS PTY LTD"/>
    <m/>
    <m/>
    <d v="2024-09-03T00:00:00"/>
    <n v="1935.45"/>
    <n v="5"/>
    <n v="0"/>
    <n v="387.09000000000003"/>
    <n v="387.09000000000003"/>
    <n v="1548.3600000000001"/>
    <m/>
    <n v="1"/>
  </r>
  <r>
    <n v="283"/>
    <s v="Flextool Honda Powered Portable Vibrator 44mm"/>
    <n v="1"/>
    <x v="1"/>
    <s v="TRADE TOOLS PTY LTD"/>
    <m/>
    <m/>
    <d v="2024-09-03T00:00:00"/>
    <n v="907.27"/>
    <n v="5"/>
    <n v="0"/>
    <n v="181.45400000000001"/>
    <n v="181.45400000000001"/>
    <n v="725.81600000000003"/>
    <m/>
    <n v="1"/>
  </r>
  <r>
    <n v="284"/>
    <s v="3.2m Screed + Honda GX160 Vibrating_x000a_Unit"/>
    <n v="1"/>
    <x v="0"/>
    <s v="ACTECH"/>
    <m/>
    <m/>
    <d v="2024-09-03T00:00:00"/>
    <n v="4182.1000000000004"/>
    <n v="3"/>
    <n v="0"/>
    <n v="1394.0333333333335"/>
    <n v="1394.0333333333335"/>
    <n v="2788.0666666666666"/>
    <m/>
    <n v="1"/>
  </r>
  <r>
    <n v="285"/>
    <s v="4.2m Screed + Honda GX160 Vibrating_x000a_Unit"/>
    <n v="1"/>
    <x v="0"/>
    <s v="ACTECH"/>
    <m/>
    <m/>
    <d v="2024-09-03T00:00:00"/>
    <n v="4533.8"/>
    <n v="3"/>
    <n v="0"/>
    <n v="1511.2666666666667"/>
    <n v="1511.2666666666667"/>
    <n v="3022.5333333333338"/>
    <m/>
    <n v="1"/>
  </r>
  <r>
    <n v="286"/>
    <s v="COMPRESSOR TECO ELEC MOTOR 200L/MIN 2.2HP 60L_x000a_130PSI PUMA"/>
    <n v="1"/>
    <x v="1"/>
    <s v="TOTAL TOOLS"/>
    <m/>
    <m/>
    <d v="2024-09-04T00:00:00"/>
    <n v="1253.3399999999999"/>
    <n v="5"/>
    <n v="0"/>
    <n v="250.66799999999998"/>
    <n v="250.66799999999998"/>
    <n v="1002.6719999999999"/>
    <m/>
    <n v="1"/>
  </r>
  <r>
    <n v="287"/>
    <s v="_x000a_20 Series Pin Head Lifting Clutch"/>
    <n v="15"/>
    <x v="0"/>
    <s v="PLASTIC SOLUTIONS AUSTRALIA PTY LTD"/>
    <m/>
    <m/>
    <d v="2024-09-05T00:00:00"/>
    <n v="16632"/>
    <n v="5"/>
    <n v="0"/>
    <n v="3326.4"/>
    <n v="3326.4"/>
    <n v="13305.6"/>
    <s v="$1,108-80 each"/>
    <n v="1"/>
  </r>
  <r>
    <n v="288"/>
    <s v="NN-IPHONE 15 PLUS 256GB BLCK"/>
    <n v="1"/>
    <x v="3"/>
    <s v="Officeworks"/>
    <m/>
    <m/>
    <d v="2024-09-06T00:00:00"/>
    <n v="1670"/>
    <n v="3"/>
    <n v="0"/>
    <n v="556.66666666666663"/>
    <n v="556.66666666666663"/>
    <n v="1113.3333333333335"/>
    <m/>
    <n v="1"/>
  </r>
  <r>
    <n v="289"/>
    <s v="PL350 Plate 5mm Assorted-16 off - 2050mm x 6000mm Rectangles"/>
    <n v="16"/>
    <x v="0"/>
    <s v="TOTAL STEEL OF AUSTRALIA PTY LTD"/>
    <m/>
    <m/>
    <d v="2024-09-06T00:00:00"/>
    <n v="25426.17"/>
    <n v="5"/>
    <n v="2542.61"/>
    <n v="4576.7119999999995"/>
    <n v="4576.7119999999995"/>
    <n v="20849.457999999999"/>
    <s v="$1,589-13 each"/>
    <n v="1"/>
  </r>
  <r>
    <n v="290"/>
    <s v="100 x 50 PF CHANNEL 9M"/>
    <n v="200"/>
    <x v="0"/>
    <s v="TOTAL STEEL OF AUSTRALIA PTY LTD"/>
    <m/>
    <m/>
    <d v="2024-09-09T00:00:00"/>
    <n v="29370"/>
    <n v="5"/>
    <n v="2937"/>
    <n v="5286.6"/>
    <n v="5286.6"/>
    <n v="24083.4"/>
    <s v="$146.50 each"/>
    <n v="1"/>
  </r>
  <r>
    <n v="291"/>
    <s v="Complete Unit - FELDER CIRCULAR SAW K940 x motion"/>
    <n v="1"/>
    <x v="1"/>
    <s v="Felder Group Australia"/>
    <m/>
    <m/>
    <d v="2024-09-13T00:00:00"/>
    <n v="52887.11"/>
    <n v="5"/>
    <n v="5288.71"/>
    <n v="9519.68"/>
    <n v="9519.68"/>
    <n v="43367.43"/>
    <m/>
    <n v="1"/>
  </r>
  <r>
    <n v="292"/>
    <s v="Lenovo Thinkbook"/>
    <n v="1"/>
    <x v="3"/>
    <s v="RUBIKS IT"/>
    <m/>
    <m/>
    <d v="2024-09-16T00:00:00"/>
    <n v="1222"/>
    <n v="3"/>
    <n v="0"/>
    <n v="407.33333333333331"/>
    <n v="407.33333333333331"/>
    <n v="814.66666666666674"/>
    <m/>
    <n v="1"/>
  </r>
  <r>
    <n v="293"/>
    <s v="Round 5675 lites Round Water Tank "/>
    <n v="1"/>
    <x v="4"/>
    <s v="DURAPLAS TWEED TANKS"/>
    <m/>
    <m/>
    <d v="2024-09-16T00:00:00"/>
    <n v="1495"/>
    <n v="10"/>
    <n v="0"/>
    <n v="149.5"/>
    <n v="149.5"/>
    <n v="1345.5"/>
    <m/>
    <n v="1"/>
  </r>
  <r>
    <n v="294"/>
    <s v="Used 20 Foot High Cube 20HC USED Cargo Worthy"/>
    <n v="1"/>
    <x v="4"/>
    <s v="GATEWAY CONTAINER PARK PTY LTD"/>
    <m/>
    <m/>
    <d v="2024-09-18T00:00:00"/>
    <n v="11472"/>
    <n v="5"/>
    <n v="2294.4"/>
    <n v="1835.52"/>
    <n v="1835.52"/>
    <n v="9636.48"/>
    <m/>
    <n v="1"/>
  </r>
  <r>
    <n v="295"/>
    <s v="10 Foot General Purpose New, 10ft High Cube (9'6High)_x000a_New Build 2023 Model- TIGU1961777"/>
    <n v="1"/>
    <x v="4"/>
    <s v="GATEWAY CONTAINER PARK PTY LTD"/>
    <m/>
    <m/>
    <d v="2024-09-18T00:00:00"/>
    <n v="8040"/>
    <n v="5"/>
    <n v="1608"/>
    <n v="1286.4000000000001"/>
    <n v="1286.4000000000001"/>
    <n v="6753.6"/>
    <m/>
    <n v="1"/>
  </r>
  <r>
    <n v="296"/>
    <s v="IHS 500T 2in Stroke Load Return Safe Ram"/>
    <n v="4"/>
    <x v="0"/>
    <s v="MCMILLAN ENGINEERING GROUP"/>
    <m/>
    <m/>
    <d v="2024-09-19T00:00:00"/>
    <n v="20217.599999999999"/>
    <n v="10"/>
    <n v="0"/>
    <n v="2021.7599999999998"/>
    <n v="2021.7599999999998"/>
    <n v="18195.84"/>
    <m/>
    <n v="1"/>
  </r>
  <r>
    <n v="297"/>
    <s v="Complete set - MOD 70 x 10m MODULAR SPREADER BAR,"/>
    <n v="1"/>
    <x v="0"/>
    <s v="ABSOLUTE LIFTING &amp; SAFETY"/>
    <m/>
    <m/>
    <d v="2024-09-24T00:00:00"/>
    <n v="40671"/>
    <n v="5"/>
    <n v="0"/>
    <n v="8134.2"/>
    <n v="8134.2"/>
    <n v="32536.799999999999"/>
    <m/>
    <n v="1"/>
  </r>
  <r>
    <n v="298"/>
    <s v="ROUND SLING 30TON ORANGE 10MTR CODE 903100"/>
    <n v="4"/>
    <x v="0"/>
    <s v="ABSOLUTE LIFTING &amp; SAFETY"/>
    <m/>
    <m/>
    <d v="2024-09-24T00:00:00"/>
    <n v="2660"/>
    <n v="5"/>
    <n v="0"/>
    <n v="532"/>
    <n v="532"/>
    <n v="2128"/>
    <s v="$665 each"/>
    <n v="1"/>
  </r>
  <r>
    <n v="299"/>
    <s v="ROUND SLING 30 TON ORANGE 6MTR CODE 903060"/>
    <n v="2"/>
    <x v="0"/>
    <s v="ABSOLUTE LIFTING &amp; SAFETY"/>
    <m/>
    <m/>
    <d v="2024-09-24T00:00:00"/>
    <n v="1170"/>
    <n v="5"/>
    <n v="0"/>
    <n v="234"/>
    <n v="234"/>
    <n v="936"/>
    <s v="$585 each"/>
    <n v="1"/>
  </r>
  <r>
    <n v="300"/>
    <s v="Cube Rotators in Giflo F800 Steel"/>
    <n v="1"/>
    <x v="1"/>
    <s v="TRIGONOMICS PTY LTD"/>
    <m/>
    <m/>
    <d v="2024-09-25T00:00:00"/>
    <n v="57914.3"/>
    <n v="10"/>
    <n v="0"/>
    <n v="5791.43"/>
    <n v="5791.43"/>
    <n v="52122.87"/>
    <m/>
    <n v="1"/>
  </r>
  <r>
    <n v="301"/>
    <s v="MCWEL Kubota MG25S-K 20 KVA Silenced Diesel Generator"/>
    <n v="1"/>
    <x v="1"/>
    <s v="WASP DIESEL PTY LTD"/>
    <m/>
    <m/>
    <d v="2024-09-25T00:00:00"/>
    <n v="15000"/>
    <n v="10"/>
    <n v="3000"/>
    <n v="1200"/>
    <n v="1200"/>
    <n v="13800"/>
    <m/>
    <n v="1"/>
  </r>
  <r>
    <n v="302"/>
    <s v="MCWEL Kubota MG45S-K 37.5 KVA Silenced Diesel Generator"/>
    <n v="1"/>
    <x v="1"/>
    <s v="WASP DIESEL PTY LTD"/>
    <m/>
    <m/>
    <d v="2024-09-25T00:00:00"/>
    <n v="18400"/>
    <n v="10"/>
    <n v="3680"/>
    <n v="1472"/>
    <n v="1472"/>
    <n v="16928"/>
    <m/>
    <n v="1"/>
  </r>
  <r>
    <n v="303"/>
    <s v="Hydraulic Power Unit  for Cube Rotator"/>
    <n v="1"/>
    <x v="1"/>
    <s v="MCMILLAN ENGINEERING GROUP"/>
    <m/>
    <m/>
    <d v="2024-09-26T00:00:00"/>
    <n v="16200"/>
    <n v="10"/>
    <n v="0"/>
    <n v="1620"/>
    <n v="1620"/>
    <n v="14580"/>
    <m/>
    <n v="1"/>
  </r>
  <r>
    <n v="304"/>
    <s v="PL350 Plate 5mm Assorted"/>
    <n v="8"/>
    <x v="0"/>
    <s v="TOTAL STEEL OF AUSTRALIA PTY LTD"/>
    <m/>
    <m/>
    <d v="2024-09-27T00:00:00"/>
    <n v="12272.72"/>
    <n v="5"/>
    <n v="1227.27"/>
    <n v="2209.0899999999997"/>
    <n v="2209.0899999999997"/>
    <n v="10063.629999999999"/>
    <s v="$1534.09 each"/>
    <n v="1"/>
  </r>
  <r>
    <n v="305"/>
    <s v="Wire Rope Sling 20mm Single Leg 6m 35 x 7 1960 End Fitting A:Thimble Eye End Fitting B: Thimble Eye WLL 7200kg Direct S/"/>
    <n v="1"/>
    <x v="0"/>
    <s v="ABSOLUTE LIFTING &amp; SAFETY"/>
    <m/>
    <m/>
    <d v="2024-09-30T00:00:00"/>
    <n v="1185"/>
    <n v="5"/>
    <n v="0"/>
    <n v="237"/>
    <n v="237"/>
    <n v="948"/>
    <m/>
    <n v="1"/>
  </r>
  <r>
    <n v="306"/>
    <s v="ICARO P42 4Hp Bender"/>
    <n v="1"/>
    <x v="0"/>
    <s v="ACTECH"/>
    <m/>
    <m/>
    <d v="2024-09-30T00:00:00"/>
    <n v="12770"/>
    <n v="5"/>
    <n v="1277"/>
    <n v="2298.6"/>
    <n v="2298.6"/>
    <n v="10471.4"/>
    <m/>
    <n v="1"/>
  </r>
  <r>
    <n v="307"/>
    <s v="IHS 500T 2in Stroke Load Return Safe Ram"/>
    <n v="12"/>
    <x v="1"/>
    <s v="MCMILLAN ENGINEERING GROUP"/>
    <m/>
    <m/>
    <d v="2024-09-30T00:00:00"/>
    <n v="60652"/>
    <n v="10"/>
    <n v="0"/>
    <n v="6065.2"/>
    <n v="6065.2"/>
    <n v="54586.8"/>
    <s v="5054.4 each"/>
    <n v="1"/>
  </r>
  <r>
    <n v="308"/>
    <s v="Stillage for 4 500t Cylinders to allow for storage, forklift_x000a_and cranage"/>
    <n v="3"/>
    <x v="1"/>
    <s v="MCMILLAN ENGINEERING GROUP"/>
    <m/>
    <m/>
    <d v="2024-09-30T00:00:00"/>
    <n v="5040"/>
    <n v="10"/>
    <n v="0"/>
    <n v="504"/>
    <n v="504"/>
    <n v="4536"/>
    <s v="$1690 each"/>
    <n v="1"/>
  </r>
  <r>
    <n v="309"/>
    <s v="DENYO DCA-100 USI 80KVA Ultra-Silent Diesel Generator"/>
    <n v="1"/>
    <x v="1"/>
    <s v="AUSTRALIAN POWER COMPANY"/>
    <m/>
    <m/>
    <d v="2024-10-01T00:00:00"/>
    <n v="41800"/>
    <n v="10"/>
    <n v="4180"/>
    <n v="3762"/>
    <n v="3762"/>
    <n v="38038"/>
    <m/>
    <n v="1"/>
  </r>
  <r>
    <n v="310"/>
    <s v="SAW MITRE COMP-GL 305MM 2000W 104X335MM BRK_x000a_LSR DBL +GTA3800 BOSCH"/>
    <n v="1"/>
    <x v="0"/>
    <s v="TOTAL TOOLS"/>
    <m/>
    <m/>
    <d v="2024-10-03T00:00:00"/>
    <n v="1165.45"/>
    <n v="3"/>
    <n v="0"/>
    <n v="388.48333333333335"/>
    <n v="388.48333333333335"/>
    <n v="776.9666666666667"/>
    <m/>
    <n v="1"/>
  </r>
  <r>
    <n v="311"/>
    <s v="20 Series Pin Head Lifting Clutch"/>
    <n v="4"/>
    <x v="0"/>
    <s v="ABSOLUTE LIFTING &amp; SAFETY"/>
    <m/>
    <m/>
    <d v="2024-10-03T00:00:00"/>
    <n v="4435.2"/>
    <n v="5"/>
    <n v="0"/>
    <n v="887.04"/>
    <n v="887.04"/>
    <n v="3548.16"/>
    <s v="$1,108-80 each"/>
    <n v="1"/>
  </r>
  <r>
    <n v="312"/>
    <s v="Roborigger Unit ARM1500-50t"/>
    <n v="1"/>
    <x v="1"/>
    <s v="Roborigger International Pty Ltd"/>
    <m/>
    <m/>
    <d v="2024-10-08T00:00:00"/>
    <n v="211384"/>
    <n v="5"/>
    <n v="21138.400000000001"/>
    <n v="38049.120000000003"/>
    <n v="38049.120000000003"/>
    <n v="173334.88"/>
    <m/>
    <n v="1"/>
  </r>
  <r>
    <n v="313"/>
    <s v="LENOVO ThinkCentre Tiny Desktop"/>
    <n v="1"/>
    <x v="3"/>
    <s v="RUBIKS IT"/>
    <m/>
    <m/>
    <d v="2024-10-10T00:00:00"/>
    <n v="1090"/>
    <n v="3"/>
    <n v="0"/>
    <n v="363.33333333333331"/>
    <n v="363.33333333333331"/>
    <n v="726.66666666666674"/>
    <s v="Site office Calendar screen"/>
    <n v="1"/>
  </r>
  <r>
    <n v="314"/>
    <s v="Cube cylinders"/>
    <n v="2"/>
    <x v="0"/>
    <s v="MCMILLAN ENGINEERING GROUP"/>
    <m/>
    <m/>
    <d v="2024-10-16T00:00:00"/>
    <n v="30860"/>
    <n v="10"/>
    <n v="0"/>
    <n v="3086"/>
    <n v="3086"/>
    <n v="27774"/>
    <s v="$15,430 each"/>
    <n v="1"/>
  </r>
  <r>
    <n v="315"/>
    <s v="DRILL GEARED GHD-30V 3MT HAFCO"/>
    <n v="1"/>
    <x v="0"/>
    <s v="Hare &amp; Forbes Machinery House"/>
    <m/>
    <m/>
    <d v="2024-10-21T00:00:00"/>
    <n v="3990"/>
    <n v="5"/>
    <n v="0"/>
    <n v="798"/>
    <n v="798"/>
    <n v="3192"/>
    <m/>
    <n v="1"/>
  </r>
  <r>
    <n v="316"/>
    <s v="One unit MCWEL Kubota MG25S-K 20KVA Silenced Diesel Generator"/>
    <n v="1"/>
    <x v="1"/>
    <s v="WASP DIESEL PTY LTD"/>
    <m/>
    <m/>
    <d v="2024-10-22T00:00:00"/>
    <n v="15000"/>
    <n v="10"/>
    <n v="1500"/>
    <n v="1350"/>
    <n v="1350"/>
    <n v="13650"/>
    <m/>
    <n v="1"/>
  </r>
  <r>
    <n v="317"/>
    <s v="Complete set 50 T SHEAVE &amp; ROPE"/>
    <n v="1"/>
    <x v="0"/>
    <s v="ABSOLUTE LIFTING &amp; SAFETY"/>
    <m/>
    <m/>
    <d v="2024-10-24T00:00:00"/>
    <n v="9400"/>
    <n v="5"/>
    <n v="0"/>
    <n v="1880"/>
    <n v="1880"/>
    <n v="7520"/>
    <m/>
    <n v="1"/>
  </r>
  <r>
    <n v="318"/>
    <s v="MOD 70 @ 10M SPREADER BEAM WITH 55T &amp; 35T BOW SHACKLES"/>
    <n v="1"/>
    <x v="0"/>
    <s v="ABSOLUTE LIFTING &amp; SAFETY"/>
    <m/>
    <m/>
    <d v="2024-10-24T00:00:00"/>
    <n v="20540"/>
    <n v="5"/>
    <n v="0"/>
    <n v="4108"/>
    <n v="4108"/>
    <n v="16432"/>
    <m/>
    <n v="1"/>
  </r>
  <r>
    <n v="319"/>
    <s v="SNATCH BLOCK WITH SHACKLE HEAD 50 TON 24&quot; SUITS 44-_x000a_50MM STEEL ROPE CODE 140150"/>
    <n v="1"/>
    <x v="0"/>
    <s v="ABSOLUTE LIFTING &amp; SAFETY"/>
    <m/>
    <m/>
    <d v="2024-10-24T00:00:00"/>
    <n v="9265"/>
    <n v="5"/>
    <n v="0"/>
    <n v="1853"/>
    <n v="1853"/>
    <n v="7412"/>
    <m/>
    <n v="1"/>
  </r>
  <r>
    <n v="320"/>
    <s v="MOTOTRBO R7 400-527 4W Enable"/>
    <n v="6"/>
    <x v="0"/>
    <s v="TRANS COMMUNICATIONS"/>
    <m/>
    <s v="S/N: 865EAUN650, 865EAUN655, 865EAUN961, 865EAUP435,865EAUP483, 865EAUP448"/>
    <d v="2024-10-29T00:00:00"/>
    <n v="8134.8"/>
    <n v="5"/>
    <n v="0"/>
    <n v="1626.96"/>
    <n v="1626.96"/>
    <n v="6507.84"/>
    <s v="1355.80 per unit"/>
    <n v="1"/>
  </r>
  <r>
    <n v="321"/>
    <s v="Lifting Beam"/>
    <n v="1"/>
    <x v="0"/>
    <s v="CASA"/>
    <m/>
    <m/>
    <d v="2024-10-30T00:00:00"/>
    <n v="107540"/>
    <n v="5"/>
    <n v="0"/>
    <n v="21508"/>
    <n v="21508"/>
    <n v="86032"/>
    <m/>
    <n v="1"/>
  </r>
  <r>
    <n v="322"/>
    <s v="Balustrades Brackets"/>
    <n v="1"/>
    <x v="0"/>
    <s v="CASA"/>
    <m/>
    <m/>
    <d v="2024-10-30T00:00:00"/>
    <n v="55094"/>
    <n v="5"/>
    <n v="0"/>
    <n v="11018.8"/>
    <n v="11018.8"/>
    <n v="44075.199999999997"/>
    <s v="Precast Instal"/>
    <n v="1"/>
  </r>
  <r>
    <n v="323"/>
    <s v="MANUFACTURE OF CHAIN SLING ASSEMBLY - 20MM G100,2 LEG 8MTR c/w 3 LINK CLEVIS GRABS &amp; CLEVIS SELF LOCKING HOOKS"/>
    <n v="1"/>
    <x v="0"/>
    <s v="ABSOLUTE LIFTING &amp; SAFETY"/>
    <m/>
    <m/>
    <d v="2024-10-31T00:00:00"/>
    <n v="2430"/>
    <n v="5"/>
    <n v="0"/>
    <n v="486"/>
    <n v="486"/>
    <n v="1944"/>
    <m/>
    <n v="1"/>
  </r>
  <r>
    <n v="324"/>
    <s v="CHAIN SLING 10MM X 8MTR X 4 LEG GRADE 100 C/W HEAD"/>
    <n v="1"/>
    <x v="0"/>
    <s v="ABSOLUTE LIFTING &amp; SAFETY"/>
    <m/>
    <m/>
    <d v="2024-10-31T00:00:00"/>
    <n v="1245"/>
    <n v="5"/>
    <n v="0"/>
    <n v="249"/>
    <n v="249"/>
    <n v="996"/>
    <m/>
    <n v="1"/>
  </r>
  <r>
    <n v="325"/>
    <s v="CHAIN SLING 13MM X 8MTR X 2 LEG GRADE 100 C/W"/>
    <n v="1"/>
    <x v="0"/>
    <s v="ABSOLUTE LIFTING &amp; SAFETY"/>
    <m/>
    <m/>
    <d v="2024-10-31T00:00:00"/>
    <n v="1355"/>
    <n v="5"/>
    <n v="0"/>
    <n v="271"/>
    <n v="271"/>
    <n v="1084"/>
    <m/>
    <n v="1"/>
  </r>
  <r>
    <n v="326"/>
    <s v="CHAIN SLING 16MM X 8MTR X 2 LEG GRADE 100 C/W"/>
    <n v="1"/>
    <x v="0"/>
    <s v="ABSOLUTE LIFTING &amp; SAFETY"/>
    <m/>
    <m/>
    <d v="2024-10-31T00:00:00"/>
    <n v="1995"/>
    <n v="5"/>
    <n v="0"/>
    <n v="399"/>
    <n v="399"/>
    <n v="1596"/>
    <m/>
    <n v="1"/>
  </r>
  <r>
    <n v="327"/>
    <s v="10 Series Pin Head Lifting Clutch LC10-269"/>
    <n v="8"/>
    <x v="0"/>
    <s v="PLASTIC SOLUTIONS AUSTRALIA PTY LTD"/>
    <m/>
    <m/>
    <d v="2024-11-01T00:00:00"/>
    <n v="4359.2"/>
    <n v="5"/>
    <n v="0"/>
    <n v="871.83999999999992"/>
    <n v="871.83999999999992"/>
    <n v="3487.3599999999997"/>
    <m/>
    <n v="1"/>
  </r>
  <r>
    <n v="328"/>
    <s v="20 Series Pin Head Lifting Clutch"/>
    <n v="2"/>
    <x v="0"/>
    <s v="PLASTIC SOLUTIONS AUSTRALIA PTY LTD"/>
    <m/>
    <m/>
    <d v="2024-11-01T00:00:00"/>
    <n v="2217.6"/>
    <n v="5"/>
    <n v="0"/>
    <n v="443.52"/>
    <n v="443.52"/>
    <n v="1774.08"/>
    <m/>
    <n v="1"/>
  </r>
  <r>
    <n v="329"/>
    <s v="PSA LiftMX15 Safety Clutch - 15 Tonne"/>
    <n v="1"/>
    <x v="0"/>
    <s v="PLASTIC SOLUTIONS AUSTRALIA PTY LTD"/>
    <m/>
    <m/>
    <d v="2024-11-01T00:00:00"/>
    <n v="1050"/>
    <n v="5"/>
    <n v="0"/>
    <n v="210"/>
    <n v="210"/>
    <n v="840"/>
    <m/>
    <n v="1"/>
  </r>
  <r>
    <n v="330"/>
    <s v="FLX POWER TRWL W/BEHIND PETROL 24IN PRO"/>
    <n v="1"/>
    <x v="0"/>
    <s v="Premier Concrete Equipment"/>
    <m/>
    <s v="J051024"/>
    <d v="2024-11-06T00:00:00"/>
    <n v="2500"/>
    <n v="5"/>
    <n v="0"/>
    <n v="500"/>
    <n v="500"/>
    <n v="2000"/>
    <m/>
    <n v="1"/>
  </r>
  <r>
    <n v="331"/>
    <s v="FLX POWER TRWL W/BEHIND PETROL 24IN PRO"/>
    <n v="1"/>
    <x v="0"/>
    <s v="Premier Concrete Equipment"/>
    <m/>
    <s v="J051030"/>
    <d v="2024-11-06T00:00:00"/>
    <n v="2500"/>
    <n v="5"/>
    <n v="0"/>
    <n v="500"/>
    <n v="500"/>
    <n v="2000"/>
    <m/>
    <n v="1"/>
  </r>
  <r>
    <n v="332"/>
    <s v="MOTOTRBO R7 400-527 4W Enable"/>
    <n v="4"/>
    <x v="0"/>
    <s v="TRANS COMMUNICATIONS"/>
    <m/>
    <s v="S/N: 865EAUN914, 865EAUP334, 865EAUP341, 865EAUP473"/>
    <d v="2024-11-09T00:00:00"/>
    <n v="5423.2"/>
    <n v="5"/>
    <n v="0"/>
    <n v="1084.6399999999999"/>
    <n v="1084.6399999999999"/>
    <n v="4338.5599999999995"/>
    <s v="1355.80 per unit"/>
    <n v="1"/>
  </r>
  <r>
    <n v="333"/>
    <s v="Renegade Industrial 3.2HP 310LPM Air Compressor 75L 3 Cylinder Cast Iron Pump"/>
    <n v="1"/>
    <x v="0"/>
    <s v="TRADE TOOLS PTY LTD"/>
    <m/>
    <m/>
    <d v="2024-11-12T00:00:00"/>
    <n v="1149"/>
    <n v="5"/>
    <n v="0"/>
    <n v="229.8"/>
    <n v="229.8"/>
    <n v="919.2"/>
    <m/>
    <n v="1"/>
  </r>
  <r>
    <n v="334"/>
    <s v="ThinkPad P16s Lenovo Thinkpad i7-13th gen CPU, 16GB_x000a_DDR5, 512GB SSD, 16” Display, 3 years warranty Nvidia_x000a_RTX A500 4GB"/>
    <n v="1"/>
    <x v="3"/>
    <s v="RUBIKS IT"/>
    <m/>
    <m/>
    <d v="2024-11-13T00:00:00"/>
    <n v="2740.91"/>
    <n v="3"/>
    <n v="0"/>
    <n v="913.63666666666666"/>
    <n v="913.63666666666666"/>
    <n v="1827.2733333333331"/>
    <s v="Ronald Tayag"/>
    <n v="1"/>
  </r>
  <r>
    <n v="335"/>
    <s v="Lenovo Thinkbook i5-13th gen CPU, 16GB ram, 512GB"/>
    <n v="2"/>
    <x v="3"/>
    <s v="RUBIKS IT"/>
    <m/>
    <m/>
    <d v="2024-11-13T00:00:00"/>
    <n v="2649.09"/>
    <n v="3"/>
    <n v="0"/>
    <n v="883.03000000000009"/>
    <n v="883.03000000000009"/>
    <n v="1766.06"/>
    <s v="Phill Mackrell &amp; Jarrod Biggs"/>
    <n v="1"/>
  </r>
  <r>
    <n v="336"/>
    <s v="Custom multi point lifting_x000a_beam WLL 16 Tonne x 3m to 6m with low profile centre_x000a_connection lift point."/>
    <n v="1"/>
    <x v="0"/>
    <s v="ABSOLUTE LIFTING &amp; SAFETY"/>
    <m/>
    <m/>
    <d v="2024-11-15T00:00:00"/>
    <n v="22985"/>
    <n v="5"/>
    <n v="0"/>
    <n v="4597"/>
    <n v="4597"/>
    <n v="18388"/>
    <m/>
    <n v="1"/>
  </r>
  <r>
    <n v="337"/>
    <s v="Cube Rotators in Giflo F800 Steel"/>
    <n v="1"/>
    <x v="1"/>
    <s v="TRIGONOMICS PTY LTD"/>
    <m/>
    <m/>
    <d v="2024-11-15T00:00:00"/>
    <n v="45089.73"/>
    <n v="10"/>
    <n v="0"/>
    <n v="4508.973"/>
    <n v="4508.973"/>
    <n v="40580.757000000005"/>
    <m/>
    <n v="1"/>
  </r>
  <r>
    <n v="338"/>
    <s v="200mm KLIPFORM A - 8m Length Powdercoated YELLOW"/>
    <n v="30"/>
    <x v="0"/>
    <s v="ACTECH"/>
    <m/>
    <m/>
    <d v="2024-11-25T00:00:00"/>
    <n v="27830.7"/>
    <n v="4"/>
    <n v="2783.07"/>
    <n v="6261.9075000000003"/>
    <n v="6261.9075000000003"/>
    <n v="21568.7925"/>
    <s v="$927.69 each"/>
    <n v="1"/>
  </r>
  <r>
    <n v="339"/>
    <s v="250mm KLIPFORM A - 8m Length Powdercoated BLACK"/>
    <n v="15"/>
    <x v="0"/>
    <s v="ACTECH"/>
    <m/>
    <m/>
    <d v="2024-11-25T00:00:00"/>
    <n v="15950.55"/>
    <n v="4"/>
    <n v="1590.05"/>
    <n v="3590.125"/>
    <n v="3590.125"/>
    <n v="12360.424999999999"/>
    <s v="$1,063.37 each"/>
    <n v="1"/>
  </r>
  <r>
    <n v="340"/>
    <s v="300mm KLIPFORM A - 8m Length Powdercoated ORANGE"/>
    <n v="10"/>
    <x v="0"/>
    <s v="ACTECH"/>
    <m/>
    <m/>
    <d v="2024-11-25T00:00:00"/>
    <n v="15398.6"/>
    <n v="4"/>
    <n v="1539.86"/>
    <n v="3464.6849999999999"/>
    <n v="3464.6849999999999"/>
    <n v="11933.915000000001"/>
    <s v="$1539.86 each"/>
    <n v="1"/>
  </r>
  <r>
    <n v="341"/>
    <s v="Switch II+ Magnet"/>
    <n v="200"/>
    <x v="0"/>
    <s v="ACTECH"/>
    <m/>
    <m/>
    <d v="2024-11-25T00:00:00"/>
    <n v="93000"/>
    <n v="7"/>
    <n v="9300"/>
    <n v="11957.142857142857"/>
    <n v="11957.142857142857"/>
    <n v="81042.857142857145"/>
    <s v="$465 each"/>
    <n v="1"/>
  </r>
  <r>
    <n v="342"/>
    <s v="Enforcer 1.6T Battery Electric Walkie Reach Stacke"/>
    <n v="1"/>
    <x v="1"/>
    <s v="Fork Force Group"/>
    <m/>
    <m/>
    <d v="2024-11-27T00:00:00"/>
    <n v="25990"/>
    <n v="10"/>
    <n v="2599"/>
    <n v="2339.1"/>
    <n v="2339.1"/>
    <n v="23650.9"/>
    <m/>
    <n v="1"/>
  </r>
  <r>
    <n v="343"/>
    <s v="175mm KLIPFORM A - 8m Length Powdercoated GREY"/>
    <n v="20"/>
    <x v="0"/>
    <s v="ACTECH"/>
    <m/>
    <m/>
    <d v="2024-11-28T00:00:00"/>
    <n v="14263.8"/>
    <n v="4"/>
    <n v="1426.38"/>
    <n v="3209.3549999999996"/>
    <n v="3209.3549999999996"/>
    <n v="11054.445"/>
    <s v="$713.19 each"/>
    <n v="1"/>
  </r>
  <r>
    <n v="344"/>
    <s v="VIBRATOR PETROL 9000RPM 4 STROKE HONDA,_x000a_POKERVIBE MASTERFINISH"/>
    <n v="1"/>
    <x v="0"/>
    <s v="TOTAL TOOLS"/>
    <m/>
    <m/>
    <d v="2024-12-02T00:00:00"/>
    <n v="781.82"/>
    <n v="3"/>
    <n v="0"/>
    <n v="260.60666666666668"/>
    <n v="260.60666666666668"/>
    <n v="521.21333333333337"/>
    <m/>
    <n v="1"/>
  </r>
  <r>
    <n v="345"/>
    <s v="DRILL MAGNETIC 19MM 1200W DOC 50MM LOW PROFILE ROTABROACH"/>
    <n v="1"/>
    <x v="0"/>
    <s v="TOTAL TOOLS"/>
    <m/>
    <m/>
    <d v="2024-12-03T00:00:00"/>
    <n v="1908.18"/>
    <n v="3"/>
    <n v="0"/>
    <n v="636.06000000000006"/>
    <n v="636.06000000000006"/>
    <n v="1272.1199999999999"/>
    <m/>
    <n v="1"/>
  </r>
  <r>
    <n v="346"/>
    <s v="IHS PE554 Stressing Pump with Bleed Down, Male Gauge QAC and Female QA Couplers."/>
    <n v="1"/>
    <x v="1"/>
    <s v="MCMILLAN ENGINEERING GROUP"/>
    <m/>
    <m/>
    <d v="2024-12-03T00:00:00"/>
    <n v="4429"/>
    <n v="5"/>
    <n v="0"/>
    <n v="885.8"/>
    <n v="885.8"/>
    <n v="3543.2"/>
    <m/>
    <n v="1"/>
  </r>
  <r>
    <n v="347"/>
    <s v="NN-LENOVO IP SLIM 5 16/1TB U5 NB"/>
    <n v="1"/>
    <x v="5"/>
    <s v="Officeworks"/>
    <m/>
    <s v="LE83DC003J"/>
    <d v="2024-12-09T00:00:00"/>
    <n v="1297"/>
    <n v="3"/>
    <n v="0"/>
    <n v="432.33333333333331"/>
    <n v="432.33333333333331"/>
    <n v="864.66666666666674"/>
    <m/>
    <n v="1"/>
  </r>
  <r>
    <n v="348"/>
    <s v="Chiller Water Bubbler/Carafe Filtered Stainless 140GPH ChillMaster Zip"/>
    <n v="2"/>
    <x v="0"/>
    <s v="ATOM"/>
    <m/>
    <m/>
    <d v="2024-12-11T00:00:00"/>
    <n v="5399.38"/>
    <n v="5"/>
    <n v="0"/>
    <n v="1079.876"/>
    <n v="1079.876"/>
    <n v="4319.5039999999999"/>
    <s v="$2699.69 each"/>
    <n v="1"/>
  </r>
  <r>
    <n v="349"/>
    <s v="R/B Rocam 4S Multi Media 65m W/30mm Cam"/>
    <n v="1"/>
    <x v="0"/>
    <s v="REECE"/>
    <m/>
    <m/>
    <d v="2024-12-11T00:00:00"/>
    <n v="8810.94"/>
    <n v="5"/>
    <n v="0"/>
    <n v="1762.1880000000001"/>
    <n v="1762.1880000000001"/>
    <n v="7048.7520000000004"/>
    <m/>
    <n v="1"/>
  </r>
  <r>
    <n v="350"/>
    <s v="Round Sling 50T Orange 8M Code:905080"/>
    <n v="2"/>
    <x v="0"/>
    <s v="ABSOLUTE LIFTING &amp; SAFETY"/>
    <m/>
    <m/>
    <d v="2024-12-17T00:00:00"/>
    <n v="2124"/>
    <n v="5"/>
    <n v="0"/>
    <n v="424.8"/>
    <n v="424.8"/>
    <n v="1699.2"/>
    <s v="$1062 each"/>
    <n v="1"/>
  </r>
  <r>
    <n v="351"/>
    <s v="PL250 Plate 8mm Assorted "/>
    <m/>
    <x v="0"/>
    <s v="TOTAL STEEL OF AUSTRALIA PTY LTD"/>
    <m/>
    <m/>
    <d v="2024-12-19T00:00:00"/>
    <n v="7067.4"/>
    <n v="10"/>
    <n v="706.74"/>
    <n v="636.06600000000003"/>
    <n v="636.06600000000003"/>
    <n v="6431.3339999999998"/>
    <s v="for crane  bog mat- excluding fabrication $30K  per tonne"/>
    <n v="1"/>
  </r>
  <r>
    <n v="352"/>
    <s v="WP-NC2RA Crane Cage + Roof (6 Person) Assembled - East_x000a_West Engineering"/>
    <n v="1"/>
    <x v="0"/>
    <s v="ABSOLUTE LIFTING &amp; SAFETY"/>
    <m/>
    <m/>
    <d v="2024-12-19T00:00:00"/>
    <n v="5395"/>
    <n v="5"/>
    <n v="0"/>
    <n v="1079"/>
    <n v="1079"/>
    <n v="4316"/>
    <m/>
    <n v="1"/>
  </r>
  <r>
    <n v="353"/>
    <s v="180 x 75 PF CHANNEL 15M"/>
    <n v="4"/>
    <x v="0"/>
    <s v="TOTAL STEEL OF AUSTRALIA PTY LTD"/>
    <m/>
    <m/>
    <d v="2024-12-19T00:00:00"/>
    <n v="2624"/>
    <n v="5"/>
    <n v="262.39999999999998"/>
    <n v="472.32"/>
    <n v="472.32"/>
    <n v="2151.6799999999998"/>
    <s v="$656 Each"/>
    <n v="1"/>
  </r>
  <r>
    <n v="354"/>
    <s v="180 x 75 PF CHANNEL 13.5M"/>
    <n v="4"/>
    <x v="0"/>
    <s v="TOTAL STEEL OF AUSTRALIA PTY LTD"/>
    <m/>
    <m/>
    <d v="2024-12-19T00:00:00"/>
    <n v="2362.16"/>
    <n v="5"/>
    <n v="236.21"/>
    <n v="425.18999999999994"/>
    <n v="425.18999999999994"/>
    <n v="1936.9699999999998"/>
    <s v="$590.54 Each"/>
    <n v="1"/>
  </r>
  <r>
    <n v="355"/>
    <s v="NEW 2024 AAA - 45' Drop Deck Semi Trailer - Bifold Ramps 13.72M "/>
    <n v="1"/>
    <x v="1"/>
    <s v="AAA Trailers Pty Ltd"/>
    <m/>
    <s v="LA9932R0CMW068"/>
    <d v="2025-01-07T00:00:00"/>
    <n v="70000"/>
    <n v="10"/>
    <n v="7000"/>
    <n v="6300"/>
    <n v="6300"/>
    <n v="63700"/>
    <m/>
    <n v="1"/>
  </r>
  <r>
    <n v="356"/>
    <s v="NEW 2024 AAA - 45' Drop Deck Widener w/- BI-FOLD RAMPS"/>
    <n v="1"/>
    <x v="1"/>
    <s v="AAA Trailers Pty Ltd"/>
    <m/>
    <s v="LA993VGP8P0CMW475"/>
    <d v="2025-01-07T00:00:00"/>
    <n v="85000"/>
    <n v="10"/>
    <n v="8500"/>
    <n v="7650"/>
    <n v="7650"/>
    <n v="77350"/>
    <m/>
    <n v="1"/>
  </r>
  <r>
    <n v="357"/>
    <s v="G100 - CHAIN SLING 16MM X 6MTR X 2 LEG GRADE T_x000a_ALLOY C/W EYE GRAB SHORTENERS (ON 3 LINKS)"/>
    <n v="1"/>
    <x v="0"/>
    <s v="ABSOLUTE LIFTING &amp; SAFETY"/>
    <m/>
    <m/>
    <d v="2025-01-15T00:00:00"/>
    <n v="4703"/>
    <n v="5"/>
    <n v="0"/>
    <n v="940.6"/>
    <n v="940.6"/>
    <n v="3762.4"/>
    <m/>
    <n v="1"/>
  </r>
  <r>
    <n v="358"/>
    <s v="Lenovo Thinkbook i5-13th gen CPU, 16GB ram, 512GB"/>
    <n v="2"/>
    <x v="3"/>
    <s v="RUBIKS IT"/>
    <m/>
    <m/>
    <d v="2025-01-21T00:00:00"/>
    <n v="2725.45"/>
    <n v="3"/>
    <n v="0"/>
    <n v="908.48333333333323"/>
    <n v="908.48333333333323"/>
    <n v="1816.9666666666667"/>
    <m/>
    <n v="1"/>
  </r>
  <r>
    <n v="359"/>
    <s v="IPHONE 16 PRO 256GB WH"/>
    <n v="1"/>
    <x v="6"/>
    <s v="Officeworks"/>
    <m/>
    <m/>
    <d v="2025-01-22T00:00:00"/>
    <n v="1887"/>
    <n v="3"/>
    <n v="0"/>
    <n v="629"/>
    <n v="629"/>
    <n v="1258"/>
    <s v="??"/>
    <n v="1"/>
  </r>
  <r>
    <n v="360"/>
    <s v="Birko Pie Warmer 1040090 50 Pies Solid Doors"/>
    <n v="2"/>
    <x v="0"/>
    <s v="ATOM"/>
    <m/>
    <m/>
    <d v="2025-01-24T00:00:00"/>
    <n v="1673.38"/>
    <n v="3"/>
    <n v="0"/>
    <n v="557.79333333333341"/>
    <n v="557.79333333333341"/>
    <n v="1115.5866666666666"/>
    <s v="$836.69 Each"/>
    <n v="1"/>
  </r>
  <r>
    <n v="361"/>
    <s v="The Master 240 Duo  - Fume extraction unit "/>
    <n v="1"/>
    <x v="0"/>
    <s v="APPLEAIR"/>
    <m/>
    <m/>
    <d v="2025-01-27T00:00:00"/>
    <n v="5466"/>
    <n v="3"/>
    <n v="0"/>
    <n v="1822"/>
    <n v="1822"/>
    <n v="3644"/>
    <m/>
    <n v="1"/>
  </r>
  <r>
    <n v="362"/>
    <s v="4X OUTRIGGER PADS AS PER QUOTE"/>
    <n v="4"/>
    <x v="7"/>
    <s v="TRANSBLAST"/>
    <m/>
    <m/>
    <d v="2025-01-30T00:00:00"/>
    <n v="3990"/>
    <n v="3"/>
    <n v="0"/>
    <n v="1330"/>
    <n v="1330"/>
    <n v="2660"/>
    <s v="997.50 Each"/>
    <n v="1"/>
  </r>
  <r>
    <n v="363"/>
    <s v="IPHONE 14 128GB MN"/>
    <n v="1"/>
    <x v="3"/>
    <s v="Officeworks"/>
    <m/>
    <m/>
    <d v="2025-01-31T00:00:00"/>
    <n v="1047"/>
    <n v="3"/>
    <n v="0"/>
    <n v="349"/>
    <n v="349"/>
    <n v="698"/>
    <m/>
    <n v="1"/>
  </r>
  <r>
    <n v="364"/>
    <s v="Doka floor prop Eurex 20 eco 350"/>
    <n v="120"/>
    <x v="7"/>
    <s v="DOKA"/>
    <m/>
    <m/>
    <d v="2025-01-31T00:00:00"/>
    <n v="12480"/>
    <n v="5"/>
    <n v="1248"/>
    <n v="2246.4"/>
    <n v="2246.4"/>
    <n v="10233.6"/>
    <s v="$104 Each"/>
    <n v="1"/>
  </r>
  <r>
    <n v="365"/>
    <s v="Fabricate and Weld Outrigger Pads from supplied"/>
    <n v="2"/>
    <x v="2"/>
    <s v="CHEPS METAL WORX"/>
    <m/>
    <m/>
    <d v="2025-01-31T00:00:00"/>
    <n v="280"/>
    <n v="10"/>
    <n v="28"/>
    <n v="25.2"/>
    <n v="25.2"/>
    <n v="254.8"/>
    <s v="$140 Per unit"/>
    <n v="1"/>
  </r>
  <r>
    <n v="366"/>
    <s v="ROUND SLING 50T X 6M"/>
    <n v="2"/>
    <x v="0"/>
    <s v="ABSOLUTE LIFTING &amp; SAFETY"/>
    <m/>
    <m/>
    <d v="2025-01-31T00:00:00"/>
    <n v="3790"/>
    <n v="5"/>
    <n v="0"/>
    <n v="758"/>
    <n v="758"/>
    <n v="3032"/>
    <s v="$1895 each"/>
    <n v="1"/>
  </r>
  <r>
    <n v="367"/>
    <s v="ROUND SLING 30T X 2MTR"/>
    <n v="4"/>
    <x v="0"/>
    <s v="ABSOLUTE LIFTING &amp; SAFETY"/>
    <m/>
    <m/>
    <d v="2025-01-31T00:00:00"/>
    <n v="1700"/>
    <n v="5"/>
    <n v="0"/>
    <n v="340"/>
    <n v="340"/>
    <n v="1360"/>
    <s v="$425 each"/>
    <n v="1"/>
  </r>
  <r>
    <n v="368"/>
    <s v="A FRAMES G250"/>
    <n v="6"/>
    <x v="7"/>
    <s v="VULCAN"/>
    <m/>
    <m/>
    <d v="2025-02-03T00:00:00"/>
    <n v="2295.02"/>
    <n v="10"/>
    <n v="229.5"/>
    <n v="206.55199999999999"/>
    <n v="206.55199999999999"/>
    <n v="2088.4679999999998"/>
    <m/>
    <n v="1"/>
  </r>
  <r>
    <n v="369"/>
    <s v="Rectangular hollow painted steel for A FRAMES"/>
    <m/>
    <x v="7"/>
    <s v="VULCAN"/>
    <m/>
    <m/>
    <d v="2025-02-04T00:00:00"/>
    <n v="3286.13"/>
    <n v="10"/>
    <n v="328.61"/>
    <n v="295.75200000000001"/>
    <n v="295.75200000000001"/>
    <n v="2990.3780000000002"/>
    <m/>
    <n v="1"/>
  </r>
  <r>
    <n v="370"/>
    <s v="Magnetic Steel Chamfer 15x15mm -"/>
    <n v="306"/>
    <x v="2"/>
    <s v="ACTECH"/>
    <m/>
    <m/>
    <d v="2025-02-05T00:00:00"/>
    <n v="8874"/>
    <n v="10"/>
    <n v="0"/>
    <n v="887.4"/>
    <n v="887.4"/>
    <n v="7986.6"/>
    <s v="$29 each"/>
    <n v="1"/>
  </r>
  <r>
    <n v="371"/>
    <s v="Lenovo Thinkpad Ultra 7 CPU, 16GB RAM, 512GB SSD,"/>
    <n v="1"/>
    <x v="3"/>
    <s v="RUBIKS IT"/>
    <m/>
    <m/>
    <d v="2025-02-10T00:00:00"/>
    <n v="2390"/>
    <n v="3"/>
    <n v="0"/>
    <n v="796.66666666666663"/>
    <n v="796.66666666666663"/>
    <n v="1593.3333333333335"/>
    <s v="Jacky"/>
    <n v="1"/>
  </r>
  <r>
    <n v="372"/>
    <s v="IPHONE 16 256GB BK"/>
    <n v="1"/>
    <x v="6"/>
    <s v="Officeworks"/>
    <m/>
    <m/>
    <d v="2025-02-11T00:00:00"/>
    <n v="1597"/>
    <n v="3"/>
    <n v="0"/>
    <n v="532.33333333333337"/>
    <n v="532.33333333333337"/>
    <n v="1064.6666666666665"/>
    <m/>
    <n v="1"/>
  </r>
  <r>
    <n v="373"/>
    <s v="Lenovo Thinkbook i5-13th Gen CPU, 16GB ram, 512GB"/>
    <n v="1"/>
    <x v="3"/>
    <s v="RUBIKS IT"/>
    <m/>
    <m/>
    <d v="2025-02-11T00:00:00"/>
    <n v="1499.09"/>
    <n v="3"/>
    <n v="0"/>
    <n v="499.69666666666666"/>
    <n v="499.69666666666666"/>
    <n v="999.3933333333332"/>
    <s v="Keyen replacement laptop"/>
    <n v="1"/>
  </r>
  <r>
    <n v="374"/>
    <s v="IPHONE 15 128GB BK"/>
    <n v="1"/>
    <x v="6"/>
    <s v="Officeworks"/>
    <m/>
    <m/>
    <d v="2025-02-12T00:00:00"/>
    <n v="1167"/>
    <n v="3"/>
    <n v="0"/>
    <n v="389"/>
    <n v="389"/>
    <n v="778"/>
    <s v="Keyen"/>
    <n v="1"/>
  </r>
  <r>
    <n v="375"/>
    <s v="IHS PE554 Stressing Pump with Bleed Down, Male_x000a_Gauge QAC and Female QA Couplers."/>
    <n v="1"/>
    <x v="1"/>
    <s v="MCMILLAN ENGINEERING GROUP"/>
    <m/>
    <m/>
    <d v="2025-02-14T00:00:00"/>
    <n v="4650"/>
    <n v="5"/>
    <n v="0"/>
    <n v="930"/>
    <n v="930"/>
    <n v="3720"/>
    <m/>
    <n v="1"/>
  </r>
  <r>
    <n v="376"/>
    <s v="1x Denyo Kubota DCA25ESK 20KVA Silenced Diesel Generator SN 70001659"/>
    <n v="1"/>
    <x v="0"/>
    <s v="WASP DIESEL PTY LTD"/>
    <m/>
    <m/>
    <d v="2025-02-19T00:00:00"/>
    <n v="8200"/>
    <n v="10"/>
    <n v="1500"/>
    <n v="670"/>
    <n v="670"/>
    <n v="7530"/>
    <m/>
    <n v="1"/>
  </r>
  <r>
    <n v="377"/>
    <s v="MASTER FINISH 24IN WALK BEHIND TROWEL MACHINE MF 24in Edging Trowel Machine"/>
    <n v="1"/>
    <x v="0"/>
    <s v="Premier Concrete Equipment"/>
    <m/>
    <s v="61172-1208786"/>
    <d v="2025-02-24T00:00:00"/>
    <n v="2500"/>
    <n v="5"/>
    <n v="0"/>
    <n v="500"/>
    <n v="500"/>
    <n v="2000"/>
    <m/>
    <n v="1"/>
  </r>
  <r>
    <n v="379"/>
    <s v="IPAD 10TH GEN WF/CL 256GB SV"/>
    <n v="1"/>
    <x v="3"/>
    <s v="Officeworks"/>
    <m/>
    <m/>
    <d v="2025-02-26T00:00:00"/>
    <n v="1087"/>
    <n v="4"/>
    <n v="0"/>
    <n v="271.75"/>
    <n v="271.75"/>
    <n v="815.25"/>
    <s v="Patchers"/>
    <n v="1"/>
  </r>
  <r>
    <n v="380"/>
    <s v="IPAD 10TH GEN WF/CL 256GB SV"/>
    <n v="1"/>
    <x v="3"/>
    <s v="Officeworks"/>
    <m/>
    <m/>
    <d v="2025-02-26T00:00:00"/>
    <n v="1087"/>
    <n v="4"/>
    <n v="0"/>
    <n v="271.75"/>
    <n v="271.75"/>
    <n v="815.25"/>
    <s v="Patchers"/>
    <n v="1"/>
  </r>
  <r>
    <n v="381"/>
    <s v="27&quot; Lenovo Monitor"/>
    <n v="2"/>
    <x v="3"/>
    <s v="RUBIKS IT"/>
    <m/>
    <m/>
    <d v="2025-02-27T00:00:00"/>
    <n v="634.54"/>
    <n v="3"/>
    <n v="0"/>
    <n v="211.51333333333332"/>
    <n v="211.51333333333332"/>
    <n v="423.02666666666664"/>
    <s v="$317.27 each Pending Jason's allocation"/>
    <n v="1"/>
  </r>
  <r>
    <n v="383"/>
    <s v="LENOVO ThinkPad Universal USB-C Docking Station"/>
    <n v="1"/>
    <x v="3"/>
    <s v="RUBIKS IT"/>
    <m/>
    <m/>
    <d v="2025-02-27T00:00:00"/>
    <n v="294.54000000000002"/>
    <n v="3"/>
    <n v="0"/>
    <n v="98.18"/>
    <n v="98.18"/>
    <n v="196.36"/>
    <s v="Pending Jason's allocation"/>
    <n v="1"/>
  </r>
  <r>
    <n v="384"/>
    <s v=" MOD 70 x 10m MODULAR SPREADER BAR"/>
    <n v="1"/>
    <x v="0"/>
    <s v="ABSOLUTE LIFTING &amp; SAFETY"/>
    <m/>
    <m/>
    <d v="2025-02-27T00:00:00"/>
    <n v="20540"/>
    <n v="5"/>
    <n v="0"/>
    <n v="4108"/>
    <n v="4108"/>
    <n v="16432"/>
    <m/>
    <n v="1"/>
  </r>
  <r>
    <n v="385"/>
    <s v="PCEAU424: Trowel, AU, Walk-Behind Edger, 24” rotor, rotating"/>
    <n v="2"/>
    <x v="0"/>
    <s v="Premier Concrete Equipment"/>
    <m/>
    <m/>
    <d v="2025-02-28T00:00:00"/>
    <n v="5171"/>
    <n v="5"/>
    <n v="0"/>
    <n v="1034.2"/>
    <n v="1034.2"/>
    <n v="4136.8"/>
    <m/>
    <n v="1"/>
  </r>
  <r>
    <n v="386"/>
    <s v="PCEAU436: Trowel, AU, Walk-Behind 36” rotor, Honda GX16"/>
    <n v="1"/>
    <x v="0"/>
    <s v="Premier Concrete Equipment"/>
    <m/>
    <s v="`"/>
    <d v="2025-02-28T00:00:00"/>
    <n v="2898"/>
    <n v="5"/>
    <n v="0"/>
    <n v="579.6"/>
    <n v="579.6"/>
    <n v="2318.4"/>
    <m/>
    <n v="1"/>
  </r>
  <r>
    <n v="387"/>
    <s v="PSA LiftMX Clutch - 10 tonnes"/>
    <n v="8"/>
    <x v="0"/>
    <s v="PLASTIC SOLUTIONS AUSTRALIA PTY LTD"/>
    <m/>
    <m/>
    <d v="2025-03-05T00:00:00"/>
    <n v="4640"/>
    <n v="5"/>
    <n v="0"/>
    <n v="928"/>
    <n v="928"/>
    <n v="3712"/>
    <s v="$580 each"/>
    <n v="1"/>
  </r>
  <r>
    <n v="388"/>
    <s v="NEW 2025 AAA - 45' Drop Deck Semi Trailer"/>
    <n v="1"/>
    <x v="1"/>
    <s v="AAA Trailers Pty Ltd"/>
    <m/>
    <m/>
    <d v="2025-03-05T00:00:00"/>
    <n v="73000"/>
    <n v="10"/>
    <n v="7300"/>
    <n v="6570"/>
    <n v="6570"/>
    <n v="66430"/>
    <m/>
    <n v="1"/>
  </r>
  <r>
    <n v="389"/>
    <s v="MIXER CEMENT ELECTRIC 4.2CFT 240V EASYMIX"/>
    <n v="1"/>
    <x v="0"/>
    <s v="TOTAL TOOLS"/>
    <m/>
    <m/>
    <d v="2025-03-12T00:00:00"/>
    <n v="2347.9499999999998"/>
    <n v="5"/>
    <n v="0"/>
    <n v="469.59"/>
    <n v="469.59"/>
    <n v="1878.36"/>
    <m/>
    <n v="1"/>
  </r>
  <r>
    <n v="390"/>
    <s v="MOD 70 MODULAR SPREADER BAR COMPONENTS"/>
    <n v="3"/>
    <x v="0"/>
    <s v="ABSOLUTE LIFTING &amp; SAFETY"/>
    <m/>
    <m/>
    <d v="2025-03-13T00:00:00"/>
    <n v="9534"/>
    <n v="5"/>
    <n v="0"/>
    <n v="1906.8"/>
    <n v="1906.8"/>
    <n v="7627.2"/>
    <s v="$3,178 each"/>
    <n v="1"/>
  </r>
  <r>
    <n v="391"/>
    <s v="Denyo Kubota DCA45LSK 37.5KVA Silenced Diesel Generator"/>
    <n v="1"/>
    <x v="0"/>
    <s v="WASP DIESEL PTY LTD"/>
    <m/>
    <m/>
    <d v="2025-03-17T00:00:00"/>
    <n v="15000"/>
    <n v="10"/>
    <n v="1500"/>
    <n v="1350"/>
    <n v="1350"/>
    <n v="13650"/>
    <m/>
    <n v="1"/>
  </r>
  <r>
    <n v="392"/>
    <s v="Lenovo ThinkPad i7 Ultra CPU, 32GB DDR5, 512GB SSD"/>
    <n v="1"/>
    <x v="3"/>
    <s v="RUBIKS IT"/>
    <m/>
    <m/>
    <d v="2025-03-17T00:00:00"/>
    <n v="2740.91"/>
    <n v="3"/>
    <n v="0"/>
    <n v="913.63666666666666"/>
    <n v="913.63666666666666"/>
    <n v="1827.2733333333331"/>
    <s v="drafting"/>
    <n v="1"/>
  </r>
  <r>
    <n v="393"/>
    <s v="Lenovo ThinkPad i7 Ultra CPU, 32GB DDR5, 512GB SSD,"/>
    <n v="1"/>
    <x v="3"/>
    <s v="RUBIKS IT"/>
    <m/>
    <m/>
    <d v="2025-03-17T00:00:00"/>
    <n v="2740.91"/>
    <n v="3"/>
    <n v="0"/>
    <n v="913.63666666666666"/>
    <n v="913.63666666666666"/>
    <n v="1827.2733333333331"/>
    <s v="drafting"/>
    <n v="1"/>
  </r>
  <r>
    <n v="394"/>
    <s v="NEW 2025 AAA - 45' Drop Deck Semi Trailer"/>
    <n v="1"/>
    <x v="1"/>
    <s v="AAA Trailers Pty Ltd"/>
    <m/>
    <m/>
    <d v="2025-03-18T00:00:00"/>
    <n v="73000"/>
    <n v="10"/>
    <n v="7300"/>
    <n v="6570"/>
    <n v="6570"/>
    <n v="66430"/>
    <m/>
    <n v="1"/>
  </r>
  <r>
    <n v="395"/>
    <s v="QUAD AXLE LOW LOADER WIDENER FRONT LIFT REAR STEER"/>
    <n v="1"/>
    <x v="1"/>
    <s v="AAA Trailers Pty Ltd"/>
    <m/>
    <s v="LA994VGP5N0CMW993"/>
    <d v="2025-03-20T00:00:00"/>
    <n v="159000"/>
    <n v="10"/>
    <n v="15900"/>
    <n v="14310"/>
    <n v="14310"/>
    <n v="144690"/>
    <m/>
    <n v="1"/>
  </r>
  <r>
    <n v="396"/>
    <s v="STAINLESS STEEL ETCHED METAL LOAD TAGS H/DUTY 2.5MM"/>
    <n v="1"/>
    <x v="0"/>
    <s v="ABSOLUTE LIFTING &amp; SAFETY"/>
    <m/>
    <m/>
    <d v="2025-03-31T00:00:00"/>
    <n v="1015"/>
    <n v="5"/>
    <n v="0"/>
    <n v="203"/>
    <n v="203"/>
    <n v="812"/>
    <m/>
    <n v="1"/>
  </r>
  <r>
    <n v="397"/>
    <s v="MANUFACTURE GRADE 100 13MM 3M ENDLESS CHAINS"/>
    <n v="1"/>
    <x v="0"/>
    <s v="ABSOLUTE LIFTING &amp; SAFETY"/>
    <m/>
    <m/>
    <d v="2025-03-31T00:00:00"/>
    <n v="4159.5600000000004"/>
    <n v="5"/>
    <n v="0"/>
    <n v="831.91200000000003"/>
    <n v="831.91200000000003"/>
    <n v="3327.6480000000001"/>
    <m/>
    <n v="1"/>
  </r>
  <r>
    <n v="398"/>
    <s v="Hoshizaki DB-200H-Worksite Worksite ICE ONLY Dispenser 9100006"/>
    <n v="1"/>
    <x v="1"/>
    <s v="Macharlin Pty Ltd (Catering Equipment Trade Centre)"/>
    <m/>
    <m/>
    <d v="2025-04-01T00:00:00"/>
    <n v="14710"/>
    <n v="5"/>
    <n v="0"/>
    <n v="2942"/>
    <n v="2942"/>
    <n v="11768"/>
    <m/>
    <n v="1"/>
  </r>
  <r>
    <n v="399"/>
    <s v="Tank 450L Lockable Diesel Fuel Storage"/>
    <n v="2"/>
    <x v="0"/>
    <s v="ATOM"/>
    <m/>
    <m/>
    <d v="2025-04-02T00:00:00"/>
    <n v="3677.4"/>
    <n v="10"/>
    <n v="0"/>
    <n v="367.74"/>
    <n v="367.74"/>
    <n v="3309.66"/>
    <s v="$1,838-70 each"/>
    <n v="1"/>
  </r>
  <r>
    <n v="400"/>
    <s v="DeWALT18V5.0/6.0AHBrushess2PieceComboKitPremium DCD1007DCF860"/>
    <n v="1"/>
    <x v="0"/>
    <s v="TRADE TOOLS PTY LTD"/>
    <m/>
    <m/>
    <d v="2025-04-03T00:00:00"/>
    <n v="1992.15"/>
    <n v="5"/>
    <n v="0"/>
    <n v="398.43"/>
    <n v="398.43"/>
    <n v="1593.72"/>
    <m/>
    <n v="1"/>
  </r>
  <r>
    <n v="401"/>
    <s v="COMBO KIT 18V 2PC 2X5.0AH IW/GG (BAG) MILWAUKEE"/>
    <n v="1"/>
    <x v="0"/>
    <s v=" "/>
    <m/>
    <m/>
    <d v="2025-04-07T00:00:00"/>
    <n v="1206.3599999999999"/>
    <n v="3"/>
    <n v="0"/>
    <n v="402.11999999999995"/>
    <n v="402.11999999999995"/>
    <n v="804.24"/>
    <m/>
    <n v="1"/>
  </r>
  <r>
    <n v="402"/>
    <s v="COMPRESSOR TECO ELEC MOTOR 280L/MIN 3.0HP 60L"/>
    <n v="1"/>
    <x v="0"/>
    <s v="TOTAL TOOLS"/>
    <m/>
    <m/>
    <d v="2025-04-07T00:00:00"/>
    <n v="1340.91"/>
    <n v="5"/>
    <n v="0"/>
    <n v="268.18200000000002"/>
    <n v="268.18200000000002"/>
    <n v="1072.7280000000001"/>
    <m/>
    <n v="1"/>
  </r>
  <r>
    <n v="403"/>
    <s v="Mach Plasma Cutmaster 70+"/>
    <n v="1"/>
    <x v="0"/>
    <s v="State of the Arc"/>
    <m/>
    <s v="DC30624210033"/>
    <d v="2025-04-11T00:00:00"/>
    <n v="2800"/>
    <n v="5"/>
    <n v="0"/>
    <n v="560"/>
    <n v="560"/>
    <n v="2240"/>
    <m/>
    <n v="1"/>
  </r>
  <r>
    <n v="404"/>
    <s v="Lenevo Thiknpad Carbon Gen 13"/>
    <n v="1"/>
    <x v="3"/>
    <s v="Lenovo"/>
    <m/>
    <s v="21NXCTO1WWAU2"/>
    <d v="2025-04-30T00:00:00"/>
    <n v="3700"/>
    <n v="3"/>
    <n v="0"/>
    <n v="1233.3333333333333"/>
    <n v="1233.3333333333333"/>
    <n v="2466.666666666667"/>
    <m/>
    <n v="1"/>
  </r>
  <r>
    <n v="405"/>
    <s v="Flat Top B Trailer"/>
    <n v="1"/>
    <x v="1"/>
    <s v="AAA Trailers Pty Ltd"/>
    <m/>
    <m/>
    <d v="2025-05-01T00:00:00"/>
    <n v="70000"/>
    <n v="10"/>
    <n v="7000"/>
    <n v="6300"/>
    <n v="6300"/>
    <n v="63700"/>
    <m/>
    <n v="1"/>
  </r>
  <r>
    <n v="406"/>
    <s v="Topconn Laser"/>
    <n v="1"/>
    <x v="0"/>
    <s v="Sydney Tools"/>
    <m/>
    <s v="9345549000427"/>
    <d v="2025-05-06T00:00:00"/>
    <n v="1768.18"/>
    <n v="3"/>
    <n v="0"/>
    <n v="589.39333333333332"/>
    <n v="589.39333333333332"/>
    <n v="1178.7866666666669"/>
    <s v="LTES Vic"/>
    <n v="1"/>
  </r>
  <r>
    <n v="407"/>
    <s v="FLX POWER TROWEL W/B PETROL 24&quot; FP424-2 S/N K01-10042"/>
    <n v="1"/>
    <x v="0"/>
    <s v="Premier Concrete Equipment"/>
    <m/>
    <m/>
    <d v="2025-05-13T00:00:00"/>
    <n v="2470"/>
    <n v="5"/>
    <n v="0"/>
    <n v="494"/>
    <n v="494"/>
    <n v="1976"/>
    <m/>
    <n v="1"/>
  </r>
  <r>
    <n v="408"/>
    <s v="FLX POWER TROWEL W/B PETROL 24&quot; FP424-2 S/N K01-10043"/>
    <n v="1"/>
    <x v="0"/>
    <s v="Premier Concrete Equipment"/>
    <m/>
    <m/>
    <d v="2025-05-13T00:00:00"/>
    <n v="2470"/>
    <n v="5"/>
    <n v="0"/>
    <n v="494"/>
    <n v="494"/>
    <n v="1976"/>
    <m/>
    <n v="1"/>
  </r>
  <r>
    <n v="409"/>
    <s v="FLX POWER TRWL W/BEHIND PETROL 24IN PRO S/N -  I11-11207"/>
    <n v="1"/>
    <x v="0"/>
    <s v="Premier Concrete Equipment"/>
    <m/>
    <m/>
    <d v="2025-05-13T00:00:00"/>
    <n v="2470"/>
    <n v="5"/>
    <n v="0"/>
    <n v="494"/>
    <n v="494"/>
    <n v="1976"/>
    <m/>
    <n v="1"/>
  </r>
  <r>
    <n v="410"/>
    <s v="FLX POWER TROWEL W/B PETROL 34 FT34-2 S/N K01-11172"/>
    <n v="1"/>
    <x v="0"/>
    <s v="Premier Concrete Equipment"/>
    <m/>
    <m/>
    <d v="2025-05-13T00:00:00"/>
    <n v="2089.1"/>
    <n v="5"/>
    <n v="0"/>
    <n v="417.82"/>
    <n v="417.82"/>
    <n v="1671.28"/>
    <m/>
    <n v="1"/>
  </r>
  <r>
    <n v="411"/>
    <s v="FLX POWER TROWEL W/B PETROL 34 FT34-2 S/N K01-11173"/>
    <n v="1"/>
    <x v="0"/>
    <s v="Premier Concrete Equipment"/>
    <m/>
    <m/>
    <d v="2025-05-13T00:00:00"/>
    <n v="2089.1"/>
    <n v="5"/>
    <n v="0"/>
    <n v="417.82"/>
    <n v="417.82"/>
    <n v="1671.28"/>
    <m/>
    <n v="1"/>
  </r>
  <r>
    <n v="412"/>
    <s v="FLX POWER TROWEL W/B PETROL 34 FT34-2 S/N K01-11180"/>
    <n v="1"/>
    <x v="0"/>
    <s v="Premier Concrete Equipment"/>
    <m/>
    <m/>
    <d v="2025-05-13T00:00:00"/>
    <n v="2089.1"/>
    <n v="5"/>
    <n v="0"/>
    <n v="417.82"/>
    <n v="417.82"/>
    <n v="1671.28"/>
    <m/>
    <n v="1"/>
  </r>
  <r>
    <n v="413"/>
    <s v="Lenovo Thinkbook i5 Ultra CPU, 16GB Ram, 512GB SSD"/>
    <n v="2"/>
    <x v="3"/>
    <s v="RUBIKS IT"/>
    <m/>
    <m/>
    <d v="2025-05-16T00:00:00"/>
    <n v="2467.4"/>
    <n v="3"/>
    <n v="0"/>
    <n v="822.4666666666667"/>
    <n v="822.4666666666667"/>
    <n v="1644.9333333333334"/>
    <m/>
    <n v="1"/>
  </r>
  <r>
    <n v="414"/>
    <s v="Dewalt 18V /54V Skin DCV586MN-XL Vacym Dust Extractor"/>
    <n v="1"/>
    <x v="0"/>
    <s v="Sydney Tools Pty Ltd"/>
    <m/>
    <m/>
    <d v="2025-05-22T00:00:00"/>
    <n v="543"/>
    <n v="5"/>
    <n v="0"/>
    <n v="108.6"/>
    <n v="108.6"/>
    <n v="434.4"/>
    <m/>
    <n v="1"/>
  </r>
  <r>
    <n v="415"/>
    <s v="Acer Swift A Laptop SF14-551-50P8 Laptop"/>
    <n v="1"/>
    <x v="3"/>
    <s v="Harvey Norman"/>
    <m/>
    <n v="892514348"/>
    <d v="2025-05-27T00:00:00"/>
    <n v="1217"/>
    <n v="3"/>
    <n v="0"/>
    <n v="405.66666666666669"/>
    <n v="405.66666666666669"/>
    <n v="811.33333333333326"/>
    <m/>
    <n v="1"/>
  </r>
  <r>
    <n v="416"/>
    <s v="Reflex RHD42A Reinforcing Steel Bar Cutter"/>
    <n v="1"/>
    <x v="0"/>
    <s v="Capital Machinery Sales"/>
    <m/>
    <m/>
    <d v="2025-05-28T00:00:00"/>
    <n v="18750"/>
    <n v="5"/>
    <n v="0"/>
    <n v="3750"/>
    <n v="3750"/>
    <n v="15000"/>
    <m/>
    <n v="1"/>
  </r>
  <r>
    <n v="417"/>
    <s v="Lenovo Thinkbook i5 Ultra CPU, 16GB Ram, 512GB SSD"/>
    <n v="1"/>
    <x v="3"/>
    <s v="RUBIKS IT"/>
    <m/>
    <m/>
    <d v="2025-05-30T00:00:00"/>
    <n v="1233.7"/>
    <n v="3"/>
    <n v="0"/>
    <n v="411.23333333333335"/>
    <n v="411.23333333333335"/>
    <n v="822.4666666666667"/>
    <m/>
    <n v="1"/>
  </r>
  <r>
    <n v="418"/>
    <s v="41T spreader beams - HDG (AS IS WHERE IS Basis)"/>
    <n v="2"/>
    <x v="0"/>
    <s v="CASA"/>
    <m/>
    <m/>
    <d v="2025-05-30T00:00:00"/>
    <n v="24000"/>
    <n v="5"/>
    <n v="0"/>
    <n v="4800"/>
    <n v="4800"/>
    <n v="19200"/>
    <m/>
    <n v="1"/>
  </r>
  <r>
    <n v="419"/>
    <s v="50T pipe spreader beams -complete with 25t Sheave , wire ropes and latch lock hook ends"/>
    <n v="1"/>
    <x v="0"/>
    <s v="CASA"/>
    <m/>
    <m/>
    <d v="2025-05-30T00:00:00"/>
    <n v="18000"/>
    <n v="5"/>
    <n v="0"/>
    <n v="3600"/>
    <n v="3600"/>
    <n v="14400"/>
    <m/>
    <n v="1"/>
  </r>
  <r>
    <n v="420"/>
    <s v="Plate spreader beams complete with lifting chains and plate grabs"/>
    <n v="2"/>
    <x v="0"/>
    <s v="CASA"/>
    <m/>
    <m/>
    <d v="2025-05-30T00:00:00"/>
    <n v="20000"/>
    <n v="5"/>
    <n v="0"/>
    <n v="4000"/>
    <n v="4000"/>
    <n v="16000"/>
    <m/>
    <n v="1"/>
  </r>
  <r>
    <n v="421"/>
    <s v="40ton dual overhead crane lifting beam"/>
    <n v="1"/>
    <x v="0"/>
    <s v="CASA"/>
    <m/>
    <m/>
    <d v="2025-05-31T00:00:00"/>
    <n v="36000"/>
    <n v="5"/>
    <n v="0"/>
    <n v="7200"/>
    <n v="7200"/>
    <n v="28800"/>
    <m/>
    <n v="1"/>
  </r>
  <r>
    <n v="422"/>
    <s v="45t Swivel joint for lifting beam"/>
    <n v="1"/>
    <x v="0"/>
    <s v="CASA"/>
    <m/>
    <m/>
    <d v="2025-05-31T00:00:00"/>
    <n v="16417.5"/>
    <n v="5"/>
    <n v="0"/>
    <n v="3283.5"/>
    <n v="3283.5"/>
    <n v="13134"/>
    <m/>
    <n v="1"/>
  </r>
  <r>
    <n v="423"/>
    <s v="Compressor - Senator DSV22-8 Professional_x000a_Compressed Air Package"/>
    <n v="1"/>
    <x v="1"/>
    <s v="State of the Arc"/>
    <m/>
    <m/>
    <d v="2025-06-02T00:00:00"/>
    <n v="27959.53"/>
    <n v="5"/>
    <n v="0"/>
    <n v="5591.9059999999999"/>
    <n v="5591.9059999999999"/>
    <n v="22367.624"/>
    <m/>
    <n v="1"/>
  </r>
  <r>
    <n v="424"/>
    <s v="Fully install Stainless pipelines for_x000a_Compressed Air and Argon shield gas"/>
    <n v="1"/>
    <x v="0"/>
    <s v="State of the Arc"/>
    <m/>
    <m/>
    <d v="2025-06-02T00:00:00"/>
    <n v="48500"/>
    <n v="5"/>
    <n v="0"/>
    <n v="9700"/>
    <n v="9700"/>
    <n v="38800"/>
    <m/>
    <n v="1"/>
  </r>
  <r>
    <n v="425"/>
    <s v="Lenovo Thinkbook i5 Ultra CPU, 16GB Ram, 512GB SSD"/>
    <n v="1"/>
    <x v="3"/>
    <s v="RUBIKS IT"/>
    <m/>
    <m/>
    <d v="2025-06-04T00:00:00"/>
    <n v="1233.7"/>
    <n v="3"/>
    <n v="0"/>
    <n v="411.23333333333335"/>
    <n v="411.23333333333335"/>
    <n v="822.4666666666667"/>
    <m/>
    <n v="1"/>
  </r>
  <r>
    <n v="426"/>
    <s v="Acer Swift A Laptop SF14-551-50P8 Laptop"/>
    <n v="1"/>
    <x v="3"/>
    <s v="Harvey Norman"/>
    <m/>
    <n v="19225073"/>
    <d v="2025-06-11T00:00:00"/>
    <n v="1598"/>
    <n v="3"/>
    <n v="0"/>
    <n v="532.66666666666663"/>
    <n v="532.66666666666663"/>
    <n v="1065.3333333333335"/>
    <m/>
    <n v="1"/>
  </r>
  <r>
    <n v="427"/>
    <s v="Intel i9 Ultra CPU, 64GB (32GB x 2) 6000Mhz Memory,Samsung 990 Pro 1TB NVMe SSD, Samsung 990 Pro 2TB"/>
    <n v="1"/>
    <x v="3"/>
    <s v="Rubiks IT"/>
    <m/>
    <m/>
    <d v="2025-06-16T00:00:00"/>
    <n v="6929"/>
    <n v="3"/>
    <n v="0"/>
    <n v="2309.6666666666665"/>
    <n v="2309.6666666666665"/>
    <n v="4619.3333333333339"/>
    <m/>
    <n v="1"/>
  </r>
  <r>
    <n v="428"/>
    <s v="SAW MITRE COMP-GL 305MM 2000W 104X335MM BRK LASR DBL BOSCH"/>
    <n v="1"/>
    <x v="0"/>
    <s v="Total Tools"/>
    <m/>
    <m/>
    <d v="2025-06-18T00:00:00"/>
    <n v="1271.82"/>
    <n v="3"/>
    <n v="0"/>
    <n v="423.94"/>
    <n v="423.94"/>
    <n v="847.87999999999988"/>
    <m/>
    <n v="1"/>
  </r>
  <r>
    <n v="429"/>
    <s v="Complete set MAN BOX WLL5700KG,"/>
    <n v="1"/>
    <x v="7"/>
    <s v="ABSOLUTE LIFTING &amp; SAFETY"/>
    <m/>
    <s v="LTEQMB001"/>
    <d v="2025-06-18T00:00:00"/>
    <n v="10170"/>
    <n v="5"/>
    <n v="0"/>
    <n v="2034"/>
    <n v="2034"/>
    <n v="8136"/>
    <m/>
    <n v="1"/>
  </r>
  <r>
    <n v="430"/>
    <s v="15T SNATCH BLOCK ,ROPE,SNOTTER CHAIN ( for  VICTORIA)"/>
    <n v="1"/>
    <x v="7"/>
    <s v="ABSOLUTE LIFTING &amp; SAFETY"/>
    <m/>
    <m/>
    <d v="2025-06-19T00:00:00"/>
    <n v="8799"/>
    <n v="5"/>
    <n v="0"/>
    <n v="1759.8"/>
    <n v="1759.8"/>
    <n v="7039.2"/>
    <m/>
    <n v="1"/>
  </r>
  <r>
    <n v="431"/>
    <s v="Garmin dezlCam LGV725 7-inch GPS Truck Sat Nav"/>
    <n v="5"/>
    <x v="8"/>
    <s v="Harvey Norman - The Ecomm Store"/>
    <m/>
    <m/>
    <d v="2025-06-20T00:00:00"/>
    <n v="4497.95"/>
    <n v="5"/>
    <n v="0"/>
    <n v="899.58999999999992"/>
    <n v="899.58999999999992"/>
    <n v="3598.3599999999997"/>
    <m/>
    <n v="1"/>
  </r>
  <r>
    <n v="432"/>
    <s v="Lenovo Thinkpad i5 Ultra, 16 GB ram, 512GB SSD"/>
    <n v="1"/>
    <x v="3"/>
    <s v="RUBIKS IT"/>
    <m/>
    <m/>
    <d v="2025-06-24T00:00:00"/>
    <n v="2354.5500000000002"/>
    <n v="3"/>
    <n v="0"/>
    <n v="784.85"/>
    <n v="784.85"/>
    <n v="1569.7000000000003"/>
    <m/>
    <n v="1"/>
  </r>
  <r>
    <n v="433"/>
    <s v="Switch II+ Magnet"/>
    <n v="200"/>
    <x v="0"/>
    <s v="ACTECH"/>
    <m/>
    <m/>
    <d v="2025-06-30T00:00:00"/>
    <n v="69750"/>
    <n v="7"/>
    <n v="0"/>
    <n v="9964.2857142857138"/>
    <n v="9964.2857142857138"/>
    <n v="59785.71428571429"/>
    <m/>
    <n v="1"/>
  </r>
  <r>
    <n v="434"/>
    <s v="Yard Rigging Gear c/w CHAIN SLING 10 &amp; 13MM WITH OVERSIZED HEAD RING X 6MTR_x000a_X 2 LEG GRADE 100 C/W CLEVIS GRAB SHORTENERS AND_x000a_CLEVIS SAFETY HOOKS"/>
    <n v="1"/>
    <x v="7"/>
    <s v="ABSOLUTE LIFTING &amp; SAFETY"/>
    <m/>
    <m/>
    <d v="2025-07-07T00:00:00"/>
    <n v="32984"/>
    <n v="5"/>
    <n v="0"/>
    <n v="6596.8"/>
    <n v="6596.8"/>
    <n v="26387.200000000001"/>
    <m/>
    <n v="1"/>
  </r>
  <r>
    <n v="435"/>
    <s v="Lenovo T series Thinkpad, i7-13th gen CPU, 16GB RAM,512GB SSD, Windows 11 pro, 4G LTE nano sim slot, 3 years warranty"/>
    <n v="1"/>
    <x v="3"/>
    <s v="RUBIKS IT"/>
    <m/>
    <m/>
    <d v="2025-07-14T00:00:00"/>
    <n v="2338.1799999999998"/>
    <n v="3"/>
    <n v="0"/>
    <n v="779.39333333333332"/>
    <n v="779.39333333333332"/>
    <n v="1558.7866666666664"/>
    <m/>
    <n v="1"/>
  </r>
  <r>
    <n v="436"/>
    <s v="Lenovo X1 Carbon Gen 13, i7 Ultra CPU, 32GB Memory,512GB SSD, 5G Sim 1 year warranty"/>
    <n v="1"/>
    <x v="3"/>
    <s v="Rubiks IT"/>
    <m/>
    <m/>
    <d v="2025-07-29T00:00:00"/>
    <n v="3921"/>
    <n v="3"/>
    <n v="0"/>
    <n v="1307"/>
    <n v="1307"/>
    <n v="2614"/>
    <m/>
    <n v="1"/>
  </r>
  <r>
    <n v="437"/>
    <s v="Lenovo Thinkbook i5 Ultra, 16GB RAM, 512GB SSD Windows 11 Pro. 1 Year warranty."/>
    <n v="1"/>
    <x v="3"/>
    <s v="Rubiks IT"/>
    <m/>
    <m/>
    <d v="2025-07-30T00:00:00"/>
    <n v="1442.87"/>
    <n v="3"/>
    <n v="0"/>
    <n v="480.95666666666665"/>
    <n v="480.95666666666665"/>
    <n v="961.91333333333318"/>
    <m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n v="1"/>
    <x v="0"/>
    <s v="RUBIKS IT"/>
    <m/>
    <m/>
    <x v="0"/>
    <n v="2461.81"/>
    <n v="4"/>
    <n v="0"/>
    <n v="2461.81"/>
    <n v="615.45249999999999"/>
    <n v="0"/>
    <s v="Written off 15/3/2024"/>
    <n v="0"/>
  </r>
  <r>
    <n v="1"/>
    <x v="1"/>
    <s v="GATEWAY CONTAINER PARK PTY LTD"/>
    <m/>
    <m/>
    <x v="1"/>
    <n v="3300"/>
    <n v="5"/>
    <n v="660"/>
    <n v="3300"/>
    <n v="528"/>
    <n v="0"/>
    <s v="Written off 15/3/24"/>
    <n v="0"/>
  </r>
  <r>
    <n v="1"/>
    <x v="2"/>
    <s v="LYNDONS PTY LTD"/>
    <m/>
    <m/>
    <x v="2"/>
    <n v="736"/>
    <n v="3"/>
    <n v="0"/>
    <n v="0"/>
    <n v="245.33333333333334"/>
    <n v="736"/>
    <s v="Written of 15/3/2024"/>
    <n v="0"/>
  </r>
  <r>
    <n v="1"/>
    <x v="2"/>
    <s v="LYNDONS PTY LTD"/>
    <m/>
    <m/>
    <x v="2"/>
    <n v="785"/>
    <n v="3"/>
    <n v="0"/>
    <n v="0"/>
    <n v="261.66666666666669"/>
    <n v="785"/>
    <s v="Written of 15/3/2024"/>
    <n v="0"/>
  </r>
  <r>
    <n v="1"/>
    <x v="2"/>
    <s v="PLASTIC SOLUTIONS AUSTRALIA PTY LTD"/>
    <m/>
    <m/>
    <x v="3"/>
    <n v="2351.88"/>
    <n v="3"/>
    <n v="0"/>
    <n v="2351.88"/>
    <n v="783.96"/>
    <n v="0"/>
    <m/>
    <n v="3"/>
  </r>
  <r>
    <n v="1"/>
    <x v="2"/>
    <s v="PLASTIC SOLUTIONS AUSTRALIA PTY LTD"/>
    <m/>
    <m/>
    <x v="3"/>
    <n v="961.49"/>
    <n v="3"/>
    <n v="0"/>
    <n v="961.49"/>
    <n v="320.49666666666667"/>
    <n v="0"/>
    <s v="Written off 15/3/2024"/>
    <n v="0"/>
  </r>
  <r>
    <n v="4"/>
    <x v="2"/>
    <s v="MCMILLAN ENGINEERING GROUP"/>
    <m/>
    <m/>
    <x v="4"/>
    <n v="9800"/>
    <n v="10"/>
    <n v="980"/>
    <n v="3528"/>
    <n v="882"/>
    <n v="6272"/>
    <s v="$2450 per unit"/>
    <n v="4"/>
  </r>
  <r>
    <n v="8"/>
    <x v="2"/>
    <s v="MCMILLAN ENGINEERING GROUP"/>
    <m/>
    <m/>
    <x v="4"/>
    <n v="25200"/>
    <n v="5"/>
    <n v="2520"/>
    <n v="18144"/>
    <n v="4536"/>
    <n v="7056"/>
    <s v="$3150 per unit"/>
    <n v="4"/>
  </r>
  <r>
    <n v="1"/>
    <x v="3"/>
    <s v="MCMILLAN ENGINEERING GROUP"/>
    <m/>
    <m/>
    <x v="4"/>
    <n v="8900"/>
    <n v="5"/>
    <n v="890"/>
    <n v="6408"/>
    <n v="1602"/>
    <n v="2492"/>
    <m/>
    <n v="4"/>
  </r>
  <r>
    <n v="1"/>
    <x v="3"/>
    <s v="PLASTIC SOLUTIONS AUSTRALIA PTY LTD"/>
    <m/>
    <m/>
    <x v="5"/>
    <n v="2952.28"/>
    <n v="10"/>
    <n v="590.46"/>
    <n v="944.72800000000007"/>
    <n v="236.18200000000002"/>
    <n v="2007.5520000000001"/>
    <m/>
    <n v="4"/>
  </r>
  <r>
    <n v="4"/>
    <x v="2"/>
    <s v="PLASTIC SOLUTIONS AUSTRALIA PTY LTD"/>
    <m/>
    <m/>
    <x v="6"/>
    <n v="2320"/>
    <n v="5"/>
    <n v="232"/>
    <n v="1670.4"/>
    <n v="417.6"/>
    <n v="649.59999999999991"/>
    <s v="$580 per unit"/>
    <n v="4"/>
  </r>
  <r>
    <n v="1"/>
    <x v="1"/>
    <s v="GATEWAY CONTAINER PARK PTY LTD"/>
    <m/>
    <m/>
    <x v="7"/>
    <n v="17600"/>
    <n v="5"/>
    <n v="3520"/>
    <n v="17600"/>
    <n v="2816"/>
    <n v="0"/>
    <s v="Written off 15/3/24"/>
    <n v="0"/>
  </r>
  <r>
    <n v="1"/>
    <x v="2"/>
    <s v="HARE &amp; FORBES PTY LTD"/>
    <m/>
    <m/>
    <x v="8"/>
    <n v="2990"/>
    <n v="3"/>
    <n v="0"/>
    <n v="0"/>
    <n v="996.66666666666663"/>
    <n v="0"/>
    <s v="Written off 15/3/24"/>
    <n v="0"/>
  </r>
  <r>
    <n v="1"/>
    <x v="1"/>
    <s v="QLD SHADESHELTERS PTY LTD"/>
    <m/>
    <m/>
    <x v="8"/>
    <n v="21503"/>
    <n v="5"/>
    <n v="4300.6000000000004"/>
    <n v="21503"/>
    <n v="3440.4800000000005"/>
    <n v="0"/>
    <s v="Written off 15/3/24"/>
    <n v="0"/>
  </r>
  <r>
    <n v="1"/>
    <x v="3"/>
    <s v="CLARK EQUIPMENT SALES PTY LTD"/>
    <m/>
    <n v="526916121"/>
    <x v="9"/>
    <n v="33800"/>
    <n v="3"/>
    <n v="6760"/>
    <n v="33800"/>
    <n v="9013.3333333333339"/>
    <n v="0"/>
    <s v="Written off 15/3/27"/>
    <n v="0"/>
  </r>
  <r>
    <n v="1"/>
    <x v="2"/>
    <s v="ABSOLUTE LIFTING &amp; SAFETY"/>
    <m/>
    <m/>
    <x v="10"/>
    <n v="1395"/>
    <n v="5"/>
    <n v="139.5"/>
    <n v="1395"/>
    <n v="251.1"/>
    <n v="0"/>
    <s v="Written of 15/3/2024"/>
    <n v="0"/>
  </r>
  <r>
    <n v="1"/>
    <x v="2"/>
    <s v="BOC"/>
    <m/>
    <m/>
    <x v="11"/>
    <n v="1929"/>
    <n v="10"/>
    <n v="0"/>
    <n v="1929"/>
    <n v="192.9"/>
    <n v="0"/>
    <s v="Written off 21/8/2023 as blew up"/>
    <n v="0"/>
  </r>
  <r>
    <n v="50"/>
    <x v="4"/>
    <s v="ACTECH"/>
    <m/>
    <m/>
    <x v="12"/>
    <n v="12750"/>
    <n v="7"/>
    <n v="1275"/>
    <n v="12750"/>
    <n v="1639.2857142857142"/>
    <n v="0"/>
    <s v="Written off 15/3/24"/>
    <n v="0"/>
  </r>
  <r>
    <n v="40"/>
    <x v="4"/>
    <s v="ACTECH"/>
    <m/>
    <m/>
    <x v="12"/>
    <n v="18081.2"/>
    <n v="7"/>
    <n v="1808.12"/>
    <n v="18081.2"/>
    <n v="2324.7257142857147"/>
    <n v="0"/>
    <s v="Written off 15/3/24"/>
    <n v="0"/>
  </r>
  <r>
    <n v="16"/>
    <x v="4"/>
    <s v="ACTECH"/>
    <m/>
    <m/>
    <x v="12"/>
    <n v="9394.7199999999993"/>
    <n v="4"/>
    <n v="939.47"/>
    <n v="9394.7199999999993"/>
    <n v="2113.8125"/>
    <n v="0"/>
    <s v="Written off 15/3/24"/>
    <n v="0"/>
  </r>
  <r>
    <n v="16"/>
    <x v="4"/>
    <s v="ACTECH"/>
    <m/>
    <m/>
    <x v="12"/>
    <n v="12464.64"/>
    <n v="4"/>
    <n v="1246.4639999999999"/>
    <n v="12464.64"/>
    <n v="2804.5439999999999"/>
    <n v="0"/>
    <s v="Written off 15/3/24"/>
    <n v="0"/>
  </r>
  <r>
    <n v="16"/>
    <x v="4"/>
    <s v="ACTECH"/>
    <m/>
    <m/>
    <x v="12"/>
    <n v="14410.08"/>
    <n v="4"/>
    <n v="1441.008"/>
    <n v="14410.08"/>
    <n v="3242.268"/>
    <n v="0"/>
    <s v="Written off 15/3/24"/>
    <n v="0"/>
  </r>
  <r>
    <n v="4"/>
    <x v="4"/>
    <s v="ACTECH"/>
    <m/>
    <m/>
    <x v="12"/>
    <n v="4100.28"/>
    <n v="4"/>
    <n v="410.02800000000002"/>
    <n v="4100.28"/>
    <n v="922.56299999999987"/>
    <n v="0"/>
    <s v="Written off 15/3/24"/>
    <n v="0"/>
  </r>
  <r>
    <n v="4"/>
    <x v="4"/>
    <s v="ACTECH"/>
    <m/>
    <m/>
    <x v="12"/>
    <n v="6303.24"/>
    <n v="4"/>
    <n v="630.32400000000007"/>
    <n v="6303.24"/>
    <n v="1418.2289999999998"/>
    <n v="0"/>
    <s v="Written off 15/3/24"/>
    <n v="0"/>
  </r>
  <r>
    <n v="6"/>
    <x v="4"/>
    <s v="INFRABUILD TRADING PTY LIMITED"/>
    <m/>
    <m/>
    <x v="12"/>
    <n v="28095.200000000001"/>
    <n v="10"/>
    <n v="2809.5200000000004"/>
    <n v="10114.272000000001"/>
    <n v="2528.5680000000002"/>
    <n v="17980.928"/>
    <s v="$4682.53 per unit"/>
    <n v="4"/>
  </r>
  <r>
    <n v="6"/>
    <x v="4"/>
    <s v="INFRABUILD TRADING PTY LIMITED"/>
    <m/>
    <m/>
    <x v="13"/>
    <n v="28095.200000000001"/>
    <n v="10"/>
    <n v="2809.5200000000004"/>
    <n v="10114.272000000001"/>
    <n v="2528.5680000000002"/>
    <n v="17980.928"/>
    <s v="$4682.53 per unit"/>
    <n v="4"/>
  </r>
  <r>
    <n v="10"/>
    <x v="4"/>
    <s v="ACTECH"/>
    <m/>
    <m/>
    <x v="14"/>
    <n v="4520.3"/>
    <n v="7"/>
    <n v="452.03000000000003"/>
    <n v="4520.3"/>
    <n v="581.18142857142857"/>
    <n v="0"/>
    <s v="Written off 15/3/24"/>
    <n v="0"/>
  </r>
  <r>
    <n v="1"/>
    <x v="2"/>
    <s v="LYNDONS PTY LTD"/>
    <m/>
    <m/>
    <x v="14"/>
    <n v="3959.28"/>
    <n v="3"/>
    <n v="0"/>
    <n v="0"/>
    <n v="1319.76"/>
    <n v="3959.28"/>
    <s v="Written of 15/3/2024"/>
    <n v="0"/>
  </r>
  <r>
    <n v="2"/>
    <x v="2"/>
    <s v="ABSOLUTE LIFTING &amp; SAFETY"/>
    <m/>
    <m/>
    <x v="14"/>
    <n v="4310"/>
    <n v="5"/>
    <n v="431"/>
    <n v="4310"/>
    <n v="775.8"/>
    <n v="0"/>
    <s v="Written of 15/3/2024"/>
    <n v="0"/>
  </r>
  <r>
    <n v="4"/>
    <x v="2"/>
    <s v="PLASTIC SOLUTIONS AUSTRALIA PTY LTD"/>
    <m/>
    <m/>
    <x v="15"/>
    <n v="2320"/>
    <n v="5"/>
    <n v="232"/>
    <n v="1252.8000000000002"/>
    <n v="417.6"/>
    <n v="1067.1999999999998"/>
    <s v="$580 per unit"/>
    <n v="3"/>
  </r>
  <r>
    <n v="1"/>
    <x v="2"/>
    <s v="LYNDONS PTY LTD"/>
    <m/>
    <m/>
    <x v="16"/>
    <n v="1750"/>
    <n v="5"/>
    <n v="0"/>
    <n v="1750"/>
    <n v="350"/>
    <n v="0"/>
    <s v="Written of 15/3/2024"/>
    <n v="0"/>
  </r>
  <r>
    <n v="1"/>
    <x v="2"/>
    <s v="LYNDONS PTY LTD"/>
    <m/>
    <m/>
    <x v="17"/>
    <n v="1850"/>
    <n v="5"/>
    <n v="0"/>
    <n v="1850"/>
    <n v="370"/>
    <n v="0"/>
    <s v="Written of 15/3/2024"/>
    <n v="0"/>
  </r>
  <r>
    <n v="1"/>
    <x v="3"/>
    <s v="AUSTRALIAN POWER COMPANY"/>
    <m/>
    <n v="3854309"/>
    <x v="18"/>
    <n v="13700"/>
    <n v="10"/>
    <n v="2740"/>
    <n v="13700"/>
    <n v="1096"/>
    <n v="0"/>
    <s v="Written off 15/3/25"/>
    <n v="0"/>
  </r>
  <r>
    <n v="40"/>
    <x v="4"/>
    <s v="ACTECH"/>
    <m/>
    <m/>
    <x v="19"/>
    <n v="18081.2"/>
    <n v="7"/>
    <n v="1808.1200000000001"/>
    <n v="18081.2"/>
    <n v="2324.7257142857143"/>
    <n v="0"/>
    <s v="Written off 15/3/24"/>
    <n v="0"/>
  </r>
  <r>
    <n v="33"/>
    <x v="4"/>
    <s v="ACTECH"/>
    <m/>
    <m/>
    <x v="19"/>
    <n v="8415"/>
    <n v="7"/>
    <n v="841.5"/>
    <n v="8415"/>
    <n v="1081.9285714285713"/>
    <n v="0"/>
    <s v="Written off 15/3/24"/>
    <n v="0"/>
  </r>
  <r>
    <n v="10"/>
    <x v="4"/>
    <s v="ACTECH"/>
    <m/>
    <m/>
    <x v="19"/>
    <n v="4520.3"/>
    <n v="7"/>
    <n v="452.03000000000003"/>
    <n v="4520.3"/>
    <n v="581.18142857142857"/>
    <n v="0"/>
    <s v="Written off 15/3/24"/>
    <n v="0"/>
  </r>
  <r>
    <n v="1"/>
    <x v="2"/>
    <s v="ACTECH"/>
    <m/>
    <m/>
    <x v="20"/>
    <n v="10312.5"/>
    <n v="3"/>
    <n v="0"/>
    <n v="0"/>
    <n v="3437.5"/>
    <n v="0"/>
    <s v="Written off 15/3/24"/>
    <n v="0"/>
  </r>
  <r>
    <n v="1"/>
    <x v="3"/>
    <s v="ACTECH"/>
    <m/>
    <m/>
    <x v="20"/>
    <n v="7500"/>
    <n v="10"/>
    <n v="750"/>
    <n v="7500"/>
    <n v="675"/>
    <n v="0"/>
    <s v="Written off 15/3/24"/>
    <n v="0"/>
  </r>
  <r>
    <n v="2"/>
    <x v="2"/>
    <s v="ABSOLUTE LIFTING &amp; SAFETY"/>
    <m/>
    <m/>
    <x v="21"/>
    <n v="3010"/>
    <n v="5"/>
    <n v="301"/>
    <n v="3010"/>
    <n v="541.79999999999995"/>
    <n v="0"/>
    <s v="Written of 15/3/2024"/>
    <n v="0"/>
  </r>
  <r>
    <n v="50"/>
    <x v="4"/>
    <s v="ACTECH"/>
    <m/>
    <m/>
    <x v="22"/>
    <n v="22601.5"/>
    <n v="7"/>
    <n v="2260.15"/>
    <n v="22601.5"/>
    <n v="2905.9071428571428"/>
    <n v="0"/>
    <s v="Written off 15/3/24"/>
    <n v="0"/>
  </r>
  <r>
    <n v="1"/>
    <x v="2"/>
    <s v="LYNDONS PTY LTD"/>
    <m/>
    <m/>
    <x v="22"/>
    <n v="2020"/>
    <n v="5"/>
    <n v="0"/>
    <n v="2020"/>
    <n v="404"/>
    <n v="0"/>
    <s v="Written of 15/3/2024"/>
    <n v="0"/>
  </r>
  <r>
    <n v="50"/>
    <x v="4"/>
    <s v="ACTECH"/>
    <m/>
    <m/>
    <x v="23"/>
    <n v="22601.5"/>
    <n v="7"/>
    <n v="2260.15"/>
    <n v="22601.5"/>
    <n v="2905.9071428571428"/>
    <n v="0"/>
    <s v="Written off 15/3/24"/>
    <n v="0"/>
  </r>
  <r>
    <n v="1"/>
    <x v="2"/>
    <s v="TRADE TOOLS PTY LTD"/>
    <m/>
    <m/>
    <x v="24"/>
    <n v="1898"/>
    <n v="5"/>
    <n v="0"/>
    <n v="1898"/>
    <n v="379.6"/>
    <n v="0"/>
    <s v="Written of 15/3/2024"/>
    <n v="0"/>
  </r>
  <r>
    <n v="1"/>
    <x v="2"/>
    <s v="ACTECH"/>
    <m/>
    <m/>
    <x v="25"/>
    <n v="10312.5"/>
    <n v="3"/>
    <n v="0"/>
    <n v="0"/>
    <n v="3437.5"/>
    <n v="0"/>
    <s v="Written off 15/3/24"/>
    <n v="0"/>
  </r>
  <r>
    <n v="1"/>
    <x v="0"/>
    <s v="Officeworks"/>
    <m/>
    <m/>
    <x v="26"/>
    <n v="1347"/>
    <n v="3"/>
    <n v="0"/>
    <n v="1347"/>
    <n v="449"/>
    <n v="0"/>
    <m/>
    <n v="3"/>
  </r>
  <r>
    <n v="1"/>
    <x v="2"/>
    <s v="TRADE TOOLS PTY LTD"/>
    <m/>
    <m/>
    <x v="27"/>
    <n v="769"/>
    <n v="3"/>
    <n v="0"/>
    <n v="769"/>
    <n v="256.33333333333331"/>
    <n v="0"/>
    <m/>
    <n v="3"/>
  </r>
  <r>
    <n v="1"/>
    <x v="2"/>
    <s v="TRADE TOOLS PTY LTD"/>
    <m/>
    <m/>
    <x v="28"/>
    <n v="989"/>
    <n v="3"/>
    <n v="0"/>
    <n v="989"/>
    <n v="329.66666666666669"/>
    <n v="0"/>
    <m/>
    <n v="3"/>
  </r>
  <r>
    <n v="1"/>
    <x v="1"/>
    <s v="GATEWAY CONTAINER PARK PTY LTD"/>
    <n v="0"/>
    <m/>
    <x v="29"/>
    <n v="4550"/>
    <n v="5"/>
    <n v="910"/>
    <n v="4550"/>
    <n v="728"/>
    <n v="0"/>
    <s v="Written off 15/3/24"/>
    <n v="0"/>
  </r>
  <r>
    <n v="1"/>
    <x v="2"/>
    <s v="HILTI"/>
    <m/>
    <n v="51840"/>
    <x v="30"/>
    <n v="3533.38"/>
    <n v="3"/>
    <n v="0"/>
    <n v="3533.38"/>
    <n v="1177.7933333333333"/>
    <n v="0"/>
    <s v="Written off 15/3/24"/>
    <n v="0"/>
  </r>
  <r>
    <n v="1"/>
    <x v="2"/>
    <s v="TOTAL TOOLS"/>
    <m/>
    <m/>
    <x v="31"/>
    <n v="810"/>
    <n v="3"/>
    <n v="0"/>
    <n v="810"/>
    <n v="270"/>
    <n v="0"/>
    <m/>
    <n v="3"/>
  </r>
  <r>
    <n v="1"/>
    <x v="3"/>
    <s v="ACTECH"/>
    <m/>
    <m/>
    <x v="32"/>
    <n v="6251.18"/>
    <n v="10"/>
    <n v="625.11800000000005"/>
    <n v="1687.8185999999998"/>
    <n v="562.60619999999994"/>
    <n v="4563.3614000000007"/>
    <m/>
    <n v="3"/>
  </r>
  <r>
    <n v="1"/>
    <x v="2"/>
    <s v="LYNDONS PTY LTD"/>
    <m/>
    <m/>
    <x v="33"/>
    <n v="4168.1400000000003"/>
    <n v="5"/>
    <n v="0"/>
    <n v="4168.1400000000003"/>
    <n v="833.62800000000004"/>
    <n v="0"/>
    <s v="Written of 15/3/2024"/>
    <n v="0"/>
  </r>
  <r>
    <n v="1"/>
    <x v="2"/>
    <s v="LYNDONS PTY LTD"/>
    <m/>
    <m/>
    <x v="33"/>
    <n v="4168.1400000000003"/>
    <n v="5"/>
    <n v="0"/>
    <n v="4168.1400000000003"/>
    <n v="833.62800000000004"/>
    <n v="0"/>
    <s v="Written of 15/3/2024"/>
    <n v="0"/>
  </r>
  <r>
    <n v="6"/>
    <x v="4"/>
    <s v="INFRABUILD TRADING PTY LIMITED"/>
    <m/>
    <m/>
    <x v="34"/>
    <n v="29264.5"/>
    <n v="10"/>
    <n v="2926.4500000000003"/>
    <n v="7901.4149999999991"/>
    <n v="2633.8049999999998"/>
    <n v="21363.084999999999"/>
    <s v="$4877.42 per unit"/>
    <n v="3"/>
  </r>
  <r>
    <n v="10"/>
    <x v="4"/>
    <s v="ACTECH"/>
    <m/>
    <m/>
    <x v="35"/>
    <n v="8180"/>
    <n v="4"/>
    <n v="818"/>
    <n v="5521.5"/>
    <n v="1840.5"/>
    <n v="2658.5"/>
    <s v="$818 per unit"/>
    <n v="3"/>
  </r>
  <r>
    <n v="20"/>
    <x v="4"/>
    <s v="ACTECH"/>
    <m/>
    <m/>
    <x v="35"/>
    <n v="17340"/>
    <n v="4"/>
    <n v="1734"/>
    <n v="11704.5"/>
    <n v="3901.5"/>
    <n v="5635.5"/>
    <s v="$867 per unit"/>
    <n v="3"/>
  </r>
  <r>
    <n v="14"/>
    <x v="4"/>
    <s v="ACTECH"/>
    <m/>
    <m/>
    <x v="35"/>
    <n v="15068.62"/>
    <n v="4"/>
    <n v="1506.8620000000001"/>
    <n v="10171.318500000001"/>
    <n v="3390.4395000000004"/>
    <n v="4897.3014999999996"/>
    <s v="$1076.33 per unit"/>
    <n v="3"/>
  </r>
  <r>
    <n v="4"/>
    <x v="4"/>
    <s v="ACTECH"/>
    <m/>
    <m/>
    <x v="35"/>
    <n v="6303.24"/>
    <n v="4"/>
    <n v="630.32400000000007"/>
    <n v="4254.6869999999999"/>
    <n v="1418.2289999999998"/>
    <n v="2048.5529999999999"/>
    <s v="$1575.81 per unit"/>
    <n v="3"/>
  </r>
  <r>
    <n v="1"/>
    <x v="2"/>
    <s v="HILTI"/>
    <m/>
    <n v="17497"/>
    <x v="35"/>
    <n v="5084.8"/>
    <n v="3"/>
    <n v="0"/>
    <n v="5084.8"/>
    <n v="1694.9333333333334"/>
    <n v="0"/>
    <s v="Written off 15/3/24"/>
    <n v="0"/>
  </r>
  <r>
    <n v="1"/>
    <x v="2"/>
    <s v="HILTI"/>
    <m/>
    <n v="10043"/>
    <x v="35"/>
    <n v="2792.56"/>
    <n v="10"/>
    <n v="0"/>
    <n v="2792.56"/>
    <n v="279.25599999999997"/>
    <n v="0"/>
    <s v="Written off 15/3/24"/>
    <n v="0"/>
  </r>
  <r>
    <n v="100"/>
    <x v="4"/>
    <s v="ACTECH"/>
    <m/>
    <m/>
    <x v="36"/>
    <n v="46500"/>
    <n v="7"/>
    <n v="4650"/>
    <n v="17935.714285714286"/>
    <n v="5978.5714285714284"/>
    <n v="28564.285714285714"/>
    <s v="$465 per unit"/>
    <n v="3"/>
  </r>
  <r>
    <n v="2"/>
    <x v="4"/>
    <s v="TOTAL STEEL OF AUSTRALIA PTY LTD"/>
    <m/>
    <m/>
    <x v="37"/>
    <n v="10970.46"/>
    <n v="10"/>
    <n v="1097.046"/>
    <n v="2962.0241999999998"/>
    <n v="987.34139999999991"/>
    <n v="8008.4357999999993"/>
    <s v="$5485.23 per unit"/>
    <n v="3"/>
  </r>
  <r>
    <n v="1"/>
    <x v="2"/>
    <s v="HILTI"/>
    <m/>
    <n v="146615"/>
    <x v="38"/>
    <n v="2729.21"/>
    <n v="3"/>
    <n v="0"/>
    <n v="2729.21"/>
    <n v="909.73666666666668"/>
    <n v="0"/>
    <s v="Written off 15/3/24"/>
    <n v="0"/>
  </r>
  <r>
    <n v="1"/>
    <x v="2"/>
    <s v="TRADE TOOLS PTY LTD"/>
    <m/>
    <m/>
    <x v="38"/>
    <n v="1712"/>
    <n v="3"/>
    <n v="0"/>
    <n v="1712"/>
    <n v="570.66666666666663"/>
    <n v="0"/>
    <s v="Written off 15/3/24"/>
    <n v="0"/>
  </r>
  <r>
    <n v="1"/>
    <x v="0"/>
    <s v="RUBIKS IT"/>
    <m/>
    <m/>
    <x v="39"/>
    <n v="2461.81"/>
    <n v="4"/>
    <n v="0"/>
    <n v="2461.81"/>
    <n v="615.45249999999999"/>
    <n v="0"/>
    <m/>
    <n v="4"/>
  </r>
  <r>
    <n v="1"/>
    <x v="0"/>
    <s v="RUBIKS IT"/>
    <m/>
    <m/>
    <x v="39"/>
    <n v="1623.63"/>
    <n v="4"/>
    <n v="0"/>
    <n v="1623.63"/>
    <n v="405.90750000000003"/>
    <n v="0"/>
    <m/>
    <n v="4"/>
  </r>
  <r>
    <n v="100"/>
    <x v="4"/>
    <s v="ACTECH"/>
    <m/>
    <m/>
    <x v="40"/>
    <n v="46500"/>
    <n v="7"/>
    <n v="4650"/>
    <n v="17935.714285714286"/>
    <n v="5978.5714285714284"/>
    <n v="28564.285714285714"/>
    <s v="$465 per unit"/>
    <n v="3"/>
  </r>
  <r>
    <n v="1"/>
    <x v="2"/>
    <s v="ABSOLUTE LIFTING &amp; SAFETY"/>
    <m/>
    <m/>
    <x v="41"/>
    <n v="6628"/>
    <n v="5"/>
    <n v="662.8"/>
    <n v="6628"/>
    <n v="1193.04"/>
    <n v="0"/>
    <s v="Written of 15/3/2024"/>
    <n v="0"/>
  </r>
  <r>
    <n v="1"/>
    <x v="2"/>
    <s v="LYNDONS PTY LTD"/>
    <m/>
    <m/>
    <x v="42"/>
    <n v="3790"/>
    <n v="5"/>
    <n v="0"/>
    <n v="3032"/>
    <n v="758"/>
    <n v="758"/>
    <m/>
    <n v="4"/>
  </r>
  <r>
    <n v="1"/>
    <x v="2"/>
    <s v="LYNDONS PTY LTD"/>
    <m/>
    <m/>
    <x v="42"/>
    <n v="3790"/>
    <n v="5"/>
    <n v="0"/>
    <n v="3032"/>
    <n v="758"/>
    <n v="758"/>
    <m/>
    <n v="4"/>
  </r>
  <r>
    <n v="1"/>
    <x v="3"/>
    <s v="AUSTRALIAN POWER COMPANY"/>
    <m/>
    <s v="                               D13755-000296"/>
    <x v="43"/>
    <n v="9800"/>
    <n v="10"/>
    <n v="1960"/>
    <n v="9800"/>
    <n v="784"/>
    <n v="0"/>
    <s v="Written off 15/3/26"/>
    <n v="0"/>
  </r>
  <r>
    <n v="1"/>
    <x v="2"/>
    <s v="ACTECH"/>
    <m/>
    <m/>
    <x v="44"/>
    <n v="10828.13"/>
    <n v="3"/>
    <n v="0"/>
    <n v="10828.13"/>
    <n v="3609.3766666666666"/>
    <n v="0"/>
    <s v="Written off 15/3/24"/>
    <n v="0"/>
  </r>
  <r>
    <n v="1"/>
    <x v="1"/>
    <s v="GATEWAY CONTAINER PARK PTY LTD"/>
    <m/>
    <m/>
    <x v="45"/>
    <n v="8430"/>
    <n v="5"/>
    <n v="1686"/>
    <n v="8430"/>
    <n v="1348.8"/>
    <n v="0"/>
    <s v="Written off 15/3/24"/>
    <n v="0"/>
  </r>
  <r>
    <n v="1"/>
    <x v="1"/>
    <s v="GATEWAY CONTAINER PARK PTY LTD"/>
    <m/>
    <m/>
    <x v="45"/>
    <n v="8430"/>
    <n v="5"/>
    <n v="1686"/>
    <n v="8430"/>
    <n v="1348.8"/>
    <n v="0"/>
    <s v="Written off 15/3/24"/>
    <n v="0"/>
  </r>
  <r>
    <n v="1"/>
    <x v="1"/>
    <s v="GATEWAY CONTAINER PARK PTY LTD"/>
    <m/>
    <m/>
    <x v="45"/>
    <n v="4200"/>
    <n v="5"/>
    <n v="840"/>
    <n v="4200"/>
    <n v="672"/>
    <n v="0"/>
    <s v="Written off 15/3/24"/>
    <n v="0"/>
  </r>
  <r>
    <n v="8"/>
    <x v="5"/>
    <s v="LTE STRUCTURES"/>
    <m/>
    <m/>
    <x v="45"/>
    <n v="8030"/>
    <n v="10"/>
    <n v="803"/>
    <n v="2890.8"/>
    <n v="722.7"/>
    <n v="5139.2"/>
    <s v="Refer Workings worksheet"/>
    <n v="4"/>
  </r>
  <r>
    <n v="1"/>
    <x v="3"/>
    <s v="GREGORY MACHINERY PTY LTD"/>
    <m/>
    <m/>
    <x v="46"/>
    <n v="6500"/>
    <n v="4"/>
    <n v="650"/>
    <n v="6500"/>
    <n v="1462.5"/>
    <n v="0"/>
    <s v="Written off 15/3/24"/>
    <n v="0"/>
  </r>
  <r>
    <n v="1"/>
    <x v="2"/>
    <s v="ACTECH"/>
    <m/>
    <m/>
    <x v="47"/>
    <n v="10312.5"/>
    <n v="3"/>
    <n v="0"/>
    <n v="10312.5"/>
    <n v="3437.5"/>
    <n v="0"/>
    <s v="Written off 15/3/24"/>
    <n v="0"/>
  </r>
  <r>
    <n v="1"/>
    <x v="0"/>
    <s v="RUBIKS IT"/>
    <m/>
    <m/>
    <x v="48"/>
    <n v="1298.18"/>
    <n v="4"/>
    <n v="0"/>
    <n v="973.63499999999999"/>
    <n v="324.54500000000002"/>
    <n v="324.54500000000007"/>
    <m/>
    <n v="3"/>
  </r>
  <r>
    <n v="1"/>
    <x v="2"/>
    <s v="LYNDONS PTY LTD"/>
    <m/>
    <m/>
    <x v="49"/>
    <n v="1498.92"/>
    <n v="5"/>
    <n v="0"/>
    <n v="1199.136"/>
    <n v="299.78399999999999"/>
    <n v="299.78400000000011"/>
    <m/>
    <n v="4"/>
  </r>
  <r>
    <n v="8"/>
    <x v="4"/>
    <s v="TOTAL STEEL OF AUSTRALIA PTY LTD"/>
    <m/>
    <m/>
    <x v="50"/>
    <n v="18041.52"/>
    <n v="10"/>
    <n v="1804.152"/>
    <n v="4871.2103999999999"/>
    <n v="1623.7368000000001"/>
    <n v="13170.309600000001"/>
    <s v="$2255.19 per unit"/>
    <n v="3"/>
  </r>
  <r>
    <n v="2"/>
    <x v="0"/>
    <s v="RUBIKS IT"/>
    <m/>
    <m/>
    <x v="50"/>
    <n v="3634.54"/>
    <n v="4"/>
    <n v="0"/>
    <n v="2725.9049999999997"/>
    <n v="908.63499999999999"/>
    <n v="908.63500000000022"/>
    <s v="??"/>
    <n v="3"/>
  </r>
  <r>
    <n v="6"/>
    <x v="2"/>
    <s v="TRANS COMMUNICATIONS"/>
    <m/>
    <s v="807TSZ5049, 807TTM7812, 807TSZ4911, 807TUB5845, 807TSZ5042, 807TUV7315"/>
    <x v="51"/>
    <n v="3514.8"/>
    <n v="5"/>
    <n v="0"/>
    <n v="3514.8"/>
    <n v="702.96"/>
    <n v="0"/>
    <s v="Written off 15/3/24"/>
    <n v="0"/>
  </r>
  <r>
    <n v="10"/>
    <x v="5"/>
    <s v="LTE STRUCTURES"/>
    <m/>
    <m/>
    <x v="52"/>
    <n v="93358.22"/>
    <n v="10"/>
    <n v="9335.82"/>
    <n v="33608.959999999999"/>
    <n v="8402.24"/>
    <n v="59749.26"/>
    <s v="Refer Workings worksheet"/>
    <n v="4"/>
  </r>
  <r>
    <n v="1"/>
    <x v="2"/>
    <s v="EBAY - EDDIE"/>
    <m/>
    <m/>
    <x v="53"/>
    <n v="2549"/>
    <n v="5"/>
    <n v="0"/>
    <n v="1529.4"/>
    <n v="509.8"/>
    <n v="1019.5999999999999"/>
    <m/>
    <n v="3"/>
  </r>
  <r>
    <n v="4"/>
    <x v="2"/>
    <s v="PLASTIC SOLUTIONS AUSTRALIA PTY LTD"/>
    <m/>
    <m/>
    <x v="54"/>
    <n v="2320"/>
    <n v="5"/>
    <n v="232"/>
    <n v="1252.8000000000002"/>
    <n v="417.6"/>
    <n v="1067.1999999999998"/>
    <s v="$580 per unit"/>
    <n v="3"/>
  </r>
  <r>
    <n v="4"/>
    <x v="2"/>
    <s v="PLASTIC SOLUTIONS AUSTRALIA PTY LTD"/>
    <m/>
    <m/>
    <x v="54"/>
    <n v="4200"/>
    <n v="5"/>
    <n v="420"/>
    <n v="2268"/>
    <n v="756"/>
    <n v="1932"/>
    <s v="$1050 per unit"/>
    <n v="3"/>
  </r>
  <r>
    <n v="1"/>
    <x v="2"/>
    <s v="ABSOLUTE LIFTING &amp; SAFETY"/>
    <m/>
    <m/>
    <x v="55"/>
    <n v="795"/>
    <n v="5"/>
    <n v="79.5"/>
    <n v="429.29999999999995"/>
    <n v="143.1"/>
    <n v="365.70000000000005"/>
    <m/>
    <n v="3"/>
  </r>
  <r>
    <n v="1"/>
    <x v="3"/>
    <s v="LUKA TRANSPORT PTY LTD"/>
    <m/>
    <s v="                                        YY06 16213"/>
    <x v="56"/>
    <n v="25000"/>
    <n v="3"/>
    <n v="0"/>
    <n v="0"/>
    <n v="8333.3333333333339"/>
    <n v="0"/>
    <s v="Written off 9/7/2025 - Condemned by WorkSafe"/>
    <n v="0"/>
  </r>
  <r>
    <n v="1"/>
    <x v="3"/>
    <s v="MELBOURNE TRACTORS"/>
    <m/>
    <m/>
    <x v="57"/>
    <n v="5320"/>
    <n v="7"/>
    <n v="2000"/>
    <n v="1422.8571428571429"/>
    <n v="474.28571428571428"/>
    <n v="3897.1428571428569"/>
    <m/>
    <n v="3"/>
  </r>
  <r>
    <n v="2"/>
    <x v="2"/>
    <s v="ABSOLUTE LIFTING &amp; SAFETY"/>
    <m/>
    <m/>
    <x v="57"/>
    <n v="2050"/>
    <n v="5"/>
    <n v="205"/>
    <n v="1107"/>
    <n v="369"/>
    <n v="943"/>
    <s v="$1025 per unit"/>
    <n v="3"/>
  </r>
  <r>
    <n v="2"/>
    <x v="2"/>
    <s v="ABSOLUTE LIFTING &amp; SAFETY"/>
    <m/>
    <m/>
    <x v="57"/>
    <n v="4780"/>
    <n v="5"/>
    <n v="478"/>
    <n v="2581.1999999999998"/>
    <n v="860.4"/>
    <n v="2198.8000000000002"/>
    <s v="$2390 per unit"/>
    <n v="3"/>
  </r>
  <r>
    <n v="4"/>
    <x v="4"/>
    <s v="TOTAL STEEL OF AUSTRALIA PTY LTD"/>
    <m/>
    <m/>
    <x v="58"/>
    <n v="21624"/>
    <n v="10"/>
    <n v="2162.4"/>
    <n v="5838.48"/>
    <n v="1946.1599999999999"/>
    <n v="15785.52"/>
    <s v="$5406.00 per unit"/>
    <n v="3"/>
  </r>
  <r>
    <n v="2"/>
    <x v="4"/>
    <s v="TOTAL STEEL OF AUSTRALIA PTY LTD"/>
    <m/>
    <m/>
    <x v="59"/>
    <n v="10812"/>
    <n v="10"/>
    <n v="1081.2"/>
    <n v="2919.24"/>
    <n v="973.07999999999993"/>
    <n v="7892.76"/>
    <s v="$5406.00 per unit"/>
    <n v="3"/>
  </r>
  <r>
    <n v="1"/>
    <x v="1"/>
    <s v="QLD SHADESHELTERS PTY LTD"/>
    <m/>
    <m/>
    <x v="60"/>
    <n v="25034"/>
    <n v="5"/>
    <n v="5006.8"/>
    <n v="25034"/>
    <n v="4005.44"/>
    <n v="0"/>
    <s v="Written off 15/3/24"/>
    <n v="0"/>
  </r>
  <r>
    <n v="4"/>
    <x v="4"/>
    <s v="INFRABUILD TRADING PTY LIMITED"/>
    <m/>
    <m/>
    <x v="61"/>
    <n v="19714.57"/>
    <n v="10"/>
    <n v="1971.45"/>
    <n v="5322.9359999999997"/>
    <n v="1774.3119999999999"/>
    <n v="14391.634"/>
    <s v="$4,928.64 per unit"/>
    <n v="3"/>
  </r>
  <r>
    <n v="1"/>
    <x v="2"/>
    <s v="LYNDONS PTY LTD"/>
    <m/>
    <m/>
    <x v="62"/>
    <n v="1908"/>
    <n v="5"/>
    <n v="0"/>
    <n v="1144.8000000000002"/>
    <n v="381.6"/>
    <n v="763.19999999999982"/>
    <m/>
    <n v="3"/>
  </r>
  <r>
    <n v="1"/>
    <x v="2"/>
    <s v="HARE &amp; FORBES PTY LTD"/>
    <m/>
    <m/>
    <x v="63"/>
    <n v="3818.18"/>
    <n v="3"/>
    <n v="0"/>
    <n v="3818.1800000000003"/>
    <n v="1272.7266666666667"/>
    <n v="0"/>
    <m/>
    <n v="3"/>
  </r>
  <r>
    <n v="2"/>
    <x v="2"/>
    <s v="LYNDONS PTY LTD"/>
    <m/>
    <m/>
    <x v="64"/>
    <n v="6243.4"/>
    <n v="5"/>
    <n v="0"/>
    <n v="3746.0399999999995"/>
    <n v="1248.6799999999998"/>
    <n v="2497.36"/>
    <s v="$3,121.70 per unit"/>
    <n v="3"/>
  </r>
  <r>
    <n v="1"/>
    <x v="2"/>
    <s v="LYNDONS PTY LTD"/>
    <m/>
    <m/>
    <x v="64"/>
    <n v="1715.7"/>
    <n v="5"/>
    <n v="0"/>
    <n v="1029.42"/>
    <n v="343.14"/>
    <n v="686.28"/>
    <m/>
    <n v="3"/>
  </r>
  <r>
    <n v="1"/>
    <x v="2"/>
    <s v="LYNDONS PTY LTD"/>
    <m/>
    <m/>
    <x v="64"/>
    <n v="1808"/>
    <n v="5"/>
    <n v="0"/>
    <n v="1084.8000000000002"/>
    <n v="361.6"/>
    <n v="723.19999999999982"/>
    <m/>
    <n v="3"/>
  </r>
  <r>
    <n v="1"/>
    <x v="2"/>
    <s v="TRADE TOOLS PTY LTD"/>
    <m/>
    <m/>
    <x v="65"/>
    <n v="1289"/>
    <n v="3"/>
    <n v="0"/>
    <n v="1289"/>
    <n v="429.66666666666669"/>
    <n v="0"/>
    <m/>
    <n v="3"/>
  </r>
  <r>
    <n v="2"/>
    <x v="2"/>
    <s v="ABSOLUTE LIFTING &amp; SAFETY"/>
    <m/>
    <m/>
    <x v="65"/>
    <n v="5050"/>
    <n v="5"/>
    <n v="505"/>
    <n v="2727"/>
    <n v="909"/>
    <n v="2323"/>
    <s v="$2525.00 per unit"/>
    <n v="3"/>
  </r>
  <r>
    <n v="1"/>
    <x v="2"/>
    <s v="ABSOLUTE LIFTING &amp; SAFETY"/>
    <m/>
    <m/>
    <x v="65"/>
    <n v="6875"/>
    <n v="5"/>
    <n v="687.5"/>
    <n v="3712.5"/>
    <n v="1237.5"/>
    <n v="3162.5"/>
    <m/>
    <n v="3"/>
  </r>
  <r>
    <n v="4"/>
    <x v="2"/>
    <s v="PLASTIC SOLUTIONS AUSTRALIA PTY LTD"/>
    <m/>
    <m/>
    <x v="66"/>
    <n v="2320"/>
    <n v="5"/>
    <n v="232"/>
    <n v="1252.8000000000002"/>
    <n v="417.6"/>
    <n v="1067.1999999999998"/>
    <s v="$580 per unit"/>
    <n v="3"/>
  </r>
  <r>
    <n v="20"/>
    <x v="4"/>
    <s v="ACTECH"/>
    <m/>
    <m/>
    <x v="66"/>
    <n v="17340"/>
    <n v="4"/>
    <n v="1734"/>
    <n v="11704.5"/>
    <n v="3901.5"/>
    <n v="5635.5"/>
    <s v="$867 per unit"/>
    <n v="3"/>
  </r>
  <r>
    <n v="20"/>
    <x v="4"/>
    <s v="ACTECH"/>
    <m/>
    <m/>
    <x v="66"/>
    <n v="19179.599999999999"/>
    <n v="4"/>
    <n v="1917.96"/>
    <n v="12946.23"/>
    <n v="4315.41"/>
    <n v="6233.369999999999"/>
    <s v="$958.98 per unit"/>
    <n v="3"/>
  </r>
  <r>
    <n v="10"/>
    <x v="4"/>
    <s v="ACTECH"/>
    <m/>
    <m/>
    <x v="66"/>
    <n v="14391.2"/>
    <n v="4"/>
    <n v="1439.12"/>
    <n v="9714.0600000000013"/>
    <n v="3238.0200000000004"/>
    <n v="4677.1399999999994"/>
    <s v="$1439.12 per unit"/>
    <n v="3"/>
  </r>
  <r>
    <n v="2"/>
    <x v="2"/>
    <s v="ACTECH"/>
    <m/>
    <m/>
    <x v="66"/>
    <n v="20625"/>
    <n v="3"/>
    <n v="0"/>
    <n v="20625"/>
    <n v="6875"/>
    <n v="0"/>
    <s v="Written off 15/3/24"/>
    <n v="3"/>
  </r>
  <r>
    <n v="55"/>
    <x v="4"/>
    <s v="ACTECH"/>
    <m/>
    <m/>
    <x v="67"/>
    <n v="25575"/>
    <n v="7"/>
    <n v="2557.5"/>
    <n v="9864.6428571428569"/>
    <n v="3288.2142857142858"/>
    <n v="15710.357142857143"/>
    <s v="$465 per unit"/>
    <n v="3"/>
  </r>
  <r>
    <n v="1"/>
    <x v="2"/>
    <s v="ACTECH"/>
    <m/>
    <m/>
    <x v="67"/>
    <n v="8616"/>
    <n v="5"/>
    <n v="0"/>
    <n v="5169.6000000000004"/>
    <n v="1723.2"/>
    <n v="3446.3999999999996"/>
    <m/>
    <n v="3"/>
  </r>
  <r>
    <n v="1"/>
    <x v="2"/>
    <s v="TRADE TOOLS PTY LTD"/>
    <m/>
    <m/>
    <x v="68"/>
    <n v="1749"/>
    <n v="5"/>
    <n v="174.9"/>
    <n v="944.46"/>
    <n v="314.82"/>
    <n v="804.54"/>
    <m/>
    <n v="3"/>
  </r>
  <r>
    <n v="1"/>
    <x v="2"/>
    <s v="LYNDONS PTY LTD"/>
    <m/>
    <m/>
    <x v="69"/>
    <n v="750"/>
    <n v="5"/>
    <n v="0"/>
    <n v="450"/>
    <n v="150"/>
    <n v="300"/>
    <m/>
    <n v="3"/>
  </r>
  <r>
    <n v="1"/>
    <x v="2"/>
    <s v="HILTI"/>
    <m/>
    <n v="56075"/>
    <x v="70"/>
    <n v="2087.75"/>
    <n v="3"/>
    <n v="0"/>
    <n v="2087.75"/>
    <n v="695.91666666666663"/>
    <n v="0"/>
    <m/>
    <n v="3"/>
  </r>
  <r>
    <n v="86"/>
    <x v="4"/>
    <s v="ACTECH"/>
    <m/>
    <m/>
    <x v="71"/>
    <n v="39990"/>
    <n v="7"/>
    <n v="3999"/>
    <n v="15424.714285714286"/>
    <n v="5141.5714285714284"/>
    <n v="24565.285714285714"/>
    <s v="$465 per unit"/>
    <n v="3"/>
  </r>
  <r>
    <n v="1"/>
    <x v="0"/>
    <s v="RUBIKS IT"/>
    <m/>
    <m/>
    <x v="72"/>
    <n v="2418.1799999999998"/>
    <n v="4"/>
    <n v="0"/>
    <n v="1813.6349999999998"/>
    <n v="604.54499999999996"/>
    <n v="604.54500000000007"/>
    <m/>
    <n v="3"/>
  </r>
  <r>
    <n v="1"/>
    <x v="2"/>
    <s v="HILTI"/>
    <m/>
    <n v="51839"/>
    <x v="72"/>
    <n v="4313.55"/>
    <n v="3"/>
    <n v="0"/>
    <n v="4313.55"/>
    <n v="1437.8500000000001"/>
    <n v="0"/>
    <m/>
    <n v="3"/>
  </r>
  <r>
    <n v="1"/>
    <x v="2"/>
    <s v="TRADE TOOLS PTY LTD"/>
    <m/>
    <m/>
    <x v="73"/>
    <n v="905"/>
    <n v="3"/>
    <n v="0"/>
    <n v="905"/>
    <n v="301.66666666666669"/>
    <n v="0"/>
    <m/>
    <n v="3"/>
  </r>
  <r>
    <n v="1"/>
    <x v="2"/>
    <s v="TRADE TOOLS PTY LTD"/>
    <m/>
    <m/>
    <x v="74"/>
    <n v="1289"/>
    <n v="3"/>
    <n v="0"/>
    <n v="1289"/>
    <n v="429.66666666666669"/>
    <n v="0"/>
    <m/>
    <n v="3"/>
  </r>
  <r>
    <n v="50"/>
    <x v="4"/>
    <s v="ACTECH"/>
    <m/>
    <m/>
    <x v="74"/>
    <n v="23250"/>
    <n v="7"/>
    <n v="2325"/>
    <n v="8967.8571428571431"/>
    <n v="2989.2857142857142"/>
    <n v="14282.142857142857"/>
    <s v="$465 per unit"/>
    <n v="3"/>
  </r>
  <r>
    <n v="2"/>
    <x v="2"/>
    <s v="TRANS COMMUNICATIONS"/>
    <m/>
    <s v="865TYK1738, 865TYD0614"/>
    <x v="75"/>
    <n v="2711.6"/>
    <n v="5"/>
    <n v="0"/>
    <n v="1626.9599999999998"/>
    <n v="542.31999999999994"/>
    <n v="1084.6400000000001"/>
    <s v="$1355.80 per unit"/>
    <n v="3"/>
  </r>
  <r>
    <n v="1"/>
    <x v="2"/>
    <s v="TRADE TOOLS PTY LTD"/>
    <m/>
    <m/>
    <x v="76"/>
    <n v="999"/>
    <n v="3"/>
    <n v="0"/>
    <n v="999"/>
    <n v="333"/>
    <n v="0"/>
    <m/>
    <n v="3"/>
  </r>
  <r>
    <n v="1"/>
    <x v="2"/>
    <s v="TRADE TOOLS PTY LTD"/>
    <m/>
    <m/>
    <x v="77"/>
    <n v="809"/>
    <n v="5"/>
    <n v="0"/>
    <n v="485.40000000000003"/>
    <n v="161.80000000000001"/>
    <n v="323.59999999999997"/>
    <m/>
    <n v="3"/>
  </r>
  <r>
    <n v="8"/>
    <x v="2"/>
    <s v="PLASTIC SOLUTIONS AUSTRALIA PTY LTD"/>
    <m/>
    <m/>
    <x v="78"/>
    <n v="4640"/>
    <n v="5"/>
    <n v="464"/>
    <n v="2505.6000000000004"/>
    <n v="835.2"/>
    <n v="2134.3999999999996"/>
    <s v="$580 per unit"/>
    <n v="3"/>
  </r>
  <r>
    <n v="1"/>
    <x v="2"/>
    <s v="ACTECH"/>
    <m/>
    <m/>
    <x v="79"/>
    <n v="3750"/>
    <n v="3"/>
    <n v="0"/>
    <n v="3750"/>
    <n v="1250"/>
    <n v="0"/>
    <s v="Written off 15/3/24"/>
    <n v="3"/>
  </r>
  <r>
    <n v="1"/>
    <x v="0"/>
    <s v="RUBIKS IT"/>
    <m/>
    <m/>
    <x v="80"/>
    <n v="1623.63"/>
    <n v="4"/>
    <n v="0"/>
    <n v="1217.7225000000001"/>
    <n v="405.90750000000003"/>
    <n v="405.90750000000003"/>
    <s v="For Lenice Cover"/>
    <n v="3"/>
  </r>
  <r>
    <n v="8"/>
    <x v="2"/>
    <s v="PLASTIC SOLUTIONS AUSTRALIA PTY LTD"/>
    <m/>
    <m/>
    <x v="81"/>
    <n v="8400"/>
    <n v="5"/>
    <n v="840"/>
    <n v="4536"/>
    <n v="1512"/>
    <n v="3864"/>
    <m/>
    <n v="3"/>
  </r>
  <r>
    <n v="1"/>
    <x v="2"/>
    <s v="HILTI"/>
    <m/>
    <m/>
    <x v="82"/>
    <n v="2424.36"/>
    <n v="3"/>
    <n v="0"/>
    <n v="2424.36"/>
    <n v="808.12"/>
    <n v="0"/>
    <m/>
    <n v="3"/>
  </r>
  <r>
    <n v="1"/>
    <x v="2"/>
    <s v="ALL ABOUT LABELS"/>
    <m/>
    <m/>
    <x v="83"/>
    <n v="2650"/>
    <n v="3"/>
    <n v="0"/>
    <n v="2650"/>
    <n v="883.33333333333337"/>
    <n v="0"/>
    <m/>
    <n v="3"/>
  </r>
  <r>
    <n v="52"/>
    <x v="4"/>
    <s v="ACTECH"/>
    <m/>
    <m/>
    <x v="83"/>
    <n v="24180"/>
    <n v="7"/>
    <n v="2418"/>
    <n v="9326.5714285714275"/>
    <n v="3108.8571428571427"/>
    <n v="14853.428571428572"/>
    <s v="$465 per unit"/>
    <n v="3"/>
  </r>
  <r>
    <n v="4"/>
    <x v="4"/>
    <s v="INFRABUILD TRADING PTY LIMITED"/>
    <m/>
    <m/>
    <x v="84"/>
    <n v="19714.57"/>
    <n v="10"/>
    <n v="1971.45"/>
    <n v="5322.9359999999997"/>
    <n v="1774.3119999999999"/>
    <n v="14391.634"/>
    <s v="$4,928.64 per unit"/>
    <n v="3"/>
  </r>
  <r>
    <n v="1"/>
    <x v="3"/>
    <s v="AUSTRALIAN POWER COMPANY"/>
    <m/>
    <n v="1126798"/>
    <x v="84"/>
    <n v="12078"/>
    <n v="10"/>
    <n v="1207.8"/>
    <n v="3261.06"/>
    <n v="1087.02"/>
    <n v="8816.94"/>
    <m/>
    <n v="3"/>
  </r>
  <r>
    <n v="4"/>
    <x v="2"/>
    <s v="PLASTIC SOLUTIONS AUSTRALIA PTY LTD"/>
    <m/>
    <m/>
    <x v="85"/>
    <n v="2320"/>
    <n v="5"/>
    <n v="232"/>
    <n v="1252.8000000000002"/>
    <n v="417.6"/>
    <n v="1067.1999999999998"/>
    <s v="$580 per unit"/>
    <n v="3"/>
  </r>
  <r>
    <n v="1"/>
    <x v="3"/>
    <s v="TRADE TOOLS PTY LTD"/>
    <m/>
    <m/>
    <x v="86"/>
    <n v="2299"/>
    <n v="5"/>
    <n v="229"/>
    <n v="1242"/>
    <n v="414"/>
    <n v="1057"/>
    <m/>
    <n v="3"/>
  </r>
  <r>
    <n v="1"/>
    <x v="3"/>
    <s v="EAST COAST TRUCK SALES PTY LTD"/>
    <m/>
    <s v="JHFUU13H800001271"/>
    <x v="87"/>
    <n v="34000"/>
    <n v="5"/>
    <n v="0"/>
    <n v="34000"/>
    <n v="34000"/>
    <n v="0"/>
    <s v="Ttraded in for a Hyundai Tray truck 7/1/2025"/>
    <n v="3"/>
  </r>
  <r>
    <n v="50"/>
    <x v="4"/>
    <s v="ACTECH"/>
    <m/>
    <m/>
    <x v="87"/>
    <n v="23250"/>
    <n v="7"/>
    <n v="2325"/>
    <n v="8967.8571428571431"/>
    <n v="2989.2857142857142"/>
    <n v="14282.142857142857"/>
    <s v="$465 per unit"/>
    <n v="3"/>
  </r>
  <r>
    <n v="10"/>
    <x v="4"/>
    <s v="CASA"/>
    <m/>
    <m/>
    <x v="88"/>
    <n v="80000"/>
    <n v="10"/>
    <n v="8000"/>
    <n v="21600"/>
    <n v="7200"/>
    <n v="58400"/>
    <n v="8000"/>
    <n v="3"/>
  </r>
  <r>
    <n v="1"/>
    <x v="0"/>
    <s v="Officeworks"/>
    <m/>
    <m/>
    <x v="89"/>
    <n v="347"/>
    <n v="4"/>
    <n v="0"/>
    <n v="260.25"/>
    <n v="86.75"/>
    <n v="86.75"/>
    <m/>
    <n v="3"/>
  </r>
  <r>
    <n v="1"/>
    <x v="0"/>
    <s v="RUBIKS IT"/>
    <m/>
    <m/>
    <x v="89"/>
    <n v="1515.49"/>
    <n v="4"/>
    <n v="0"/>
    <n v="1136.6175000000001"/>
    <n v="378.8725"/>
    <n v="378.87249999999995"/>
    <m/>
    <n v="3"/>
  </r>
  <r>
    <n v="12"/>
    <x v="4"/>
    <s v="TOTAL STEEL OF AUSTRALIA PTY LTD"/>
    <m/>
    <m/>
    <x v="90"/>
    <n v="16729.23"/>
    <n v="10"/>
    <n v="1672.92"/>
    <n v="4516.893"/>
    <n v="1505.6309999999999"/>
    <n v="12212.337"/>
    <s v="$1,394.10 per unit"/>
    <n v="3"/>
  </r>
  <r>
    <n v="1"/>
    <x v="2"/>
    <s v="PLASTIC SOLUTIONS AUSTRALIA PTY LTD"/>
    <m/>
    <m/>
    <x v="91"/>
    <n v="580"/>
    <n v="5"/>
    <n v="58"/>
    <n v="313.20000000000005"/>
    <n v="104.4"/>
    <n v="266.79999999999995"/>
    <m/>
    <n v="3"/>
  </r>
  <r>
    <n v="1"/>
    <x v="2"/>
    <s v="TRADE TOOLS PTY LTD"/>
    <m/>
    <m/>
    <x v="92"/>
    <n v="749"/>
    <n v="5"/>
    <n v="0"/>
    <n v="449.40000000000003"/>
    <n v="149.80000000000001"/>
    <n v="299.59999999999997"/>
    <m/>
    <n v="3"/>
  </r>
  <r>
    <n v="1"/>
    <x v="0"/>
    <s v="RUBIKS IT"/>
    <m/>
    <m/>
    <x v="92"/>
    <n v="1675.8"/>
    <n v="4"/>
    <n v="0"/>
    <n v="0"/>
    <n v="418.95"/>
    <n v="0"/>
    <s v="Keyen replacement laptop- written off 11/2/2025"/>
    <n v="0"/>
  </r>
  <r>
    <n v="8"/>
    <x v="2"/>
    <s v="PLASTIC SOLUTIONS AUSTRALIA PTY LTD"/>
    <m/>
    <m/>
    <x v="93"/>
    <n v="4640"/>
    <n v="5"/>
    <n v="464"/>
    <n v="2505.6000000000004"/>
    <n v="835.2"/>
    <n v="2134.3999999999996"/>
    <s v="$580 per unit"/>
    <n v="3"/>
  </r>
  <r>
    <n v="100"/>
    <x v="4"/>
    <s v="ACTECH"/>
    <m/>
    <m/>
    <x v="94"/>
    <n v="46500"/>
    <n v="7"/>
    <n v="4650"/>
    <n v="17935.714285714286"/>
    <n v="5978.5714285714284"/>
    <n v="28564.285714285714"/>
    <s v="$465 each"/>
    <n v="3"/>
  </r>
  <r>
    <n v="1"/>
    <x v="3"/>
    <s v="TOTAL TOOLS"/>
    <m/>
    <m/>
    <x v="95"/>
    <n v="2789.1"/>
    <n v="5"/>
    <n v="0"/>
    <n v="1673.4599999999998"/>
    <n v="557.81999999999994"/>
    <n v="1115.6400000000001"/>
    <m/>
    <n v="3"/>
  </r>
  <r>
    <n v="1"/>
    <x v="0"/>
    <s v="Officeworks"/>
    <m/>
    <m/>
    <x v="96"/>
    <n v="1397"/>
    <n v="3"/>
    <n v="0"/>
    <n v="1397"/>
    <n v="465.66666666666669"/>
    <n v="0"/>
    <s v="*Keyen"/>
    <n v="3"/>
  </r>
  <r>
    <n v="1"/>
    <x v="0"/>
    <s v="LENOVO"/>
    <m/>
    <s v="PF4B8RMA"/>
    <x v="97"/>
    <n v="3645.98"/>
    <n v="4"/>
    <n v="0"/>
    <n v="2734.4850000000001"/>
    <n v="911.495"/>
    <n v="911.49499999999989"/>
    <s v="*Jason replacement laptop"/>
    <n v="3"/>
  </r>
  <r>
    <n v="1"/>
    <x v="0"/>
    <s v="RUBIKS IT"/>
    <m/>
    <m/>
    <x v="98"/>
    <n v="1428.18"/>
    <n v="4"/>
    <n v="0"/>
    <n v="1071.135"/>
    <n v="357.04500000000002"/>
    <n v="357.04500000000007"/>
    <s v="**Luke Chequer"/>
    <n v="3"/>
  </r>
  <r>
    <n v="1"/>
    <x v="2"/>
    <s v="TRADE TOOLS PTY LTD"/>
    <m/>
    <m/>
    <x v="99"/>
    <n v="499"/>
    <n v="5"/>
    <n v="0"/>
    <n v="299.39999999999998"/>
    <n v="99.8"/>
    <n v="199.60000000000002"/>
    <m/>
    <n v="3"/>
  </r>
  <r>
    <n v="57"/>
    <x v="4"/>
    <s v="ACTECH"/>
    <m/>
    <m/>
    <x v="100"/>
    <n v="26505"/>
    <n v="7"/>
    <n v="2650"/>
    <n v="10223.571428571428"/>
    <n v="3407.8571428571427"/>
    <n v="16281.428571428572"/>
    <s v="$465 each"/>
    <n v="3"/>
  </r>
  <r>
    <n v="1"/>
    <x v="0"/>
    <s v="Officeworks"/>
    <m/>
    <m/>
    <x v="101"/>
    <n v="827"/>
    <n v="4"/>
    <n v="0"/>
    <n v="620.25"/>
    <n v="206.75"/>
    <n v="206.75"/>
    <s v="  "/>
    <n v="3"/>
  </r>
  <r>
    <n v="2"/>
    <x v="2"/>
    <s v="ABSOLUTE LIFTING &amp; SAFETY"/>
    <m/>
    <m/>
    <x v="102"/>
    <n v="2630"/>
    <n v="5"/>
    <n v="263"/>
    <n v="1420.1999999999998"/>
    <n v="473.4"/>
    <n v="1209.8000000000002"/>
    <s v="$1315 each"/>
    <n v="3"/>
  </r>
  <r>
    <n v="4"/>
    <x v="2"/>
    <s v="ABSOLUTE LIFTING &amp; SAFETY"/>
    <m/>
    <m/>
    <x v="102"/>
    <n v="3980"/>
    <n v="5"/>
    <n v="398"/>
    <n v="2149.1999999999998"/>
    <n v="716.4"/>
    <n v="1830.8000000000002"/>
    <s v="$995 each"/>
    <n v="3"/>
  </r>
  <r>
    <n v="2"/>
    <x v="2"/>
    <s v="ABSOLUTE LIFTING &amp; SAFETY"/>
    <m/>
    <m/>
    <x v="102"/>
    <n v="3140"/>
    <n v="5"/>
    <n v="314"/>
    <n v="1695.6000000000001"/>
    <n v="565.20000000000005"/>
    <n v="1444.3999999999999"/>
    <s v="$1570 each"/>
    <n v="3"/>
  </r>
  <r>
    <n v="2"/>
    <x v="2"/>
    <s v="ABSOLUTE LIFTING &amp; SAFETY"/>
    <m/>
    <m/>
    <x v="102"/>
    <n v="3660"/>
    <n v="5"/>
    <n v="366"/>
    <n v="1976.3999999999999"/>
    <n v="658.8"/>
    <n v="1683.6000000000001"/>
    <s v="$1830 each"/>
    <n v="3"/>
  </r>
  <r>
    <n v="1"/>
    <x v="0"/>
    <s v="Officeworks"/>
    <m/>
    <m/>
    <x v="103"/>
    <n v="719"/>
    <n v="4"/>
    <n v="0"/>
    <n v="539.25"/>
    <n v="179.75"/>
    <n v="179.75"/>
    <s v="??"/>
    <n v="3"/>
  </r>
  <r>
    <n v="43"/>
    <x v="4"/>
    <s v="ACTECH"/>
    <m/>
    <m/>
    <x v="103"/>
    <n v="19995"/>
    <n v="7"/>
    <n v="1999.5"/>
    <n v="7712.3571428571431"/>
    <n v="2570.7857142857142"/>
    <n v="12282.642857142857"/>
    <s v="$465 each"/>
    <n v="3"/>
  </r>
  <r>
    <n v="1"/>
    <x v="0"/>
    <s v="RUBIKS IT"/>
    <m/>
    <m/>
    <x v="104"/>
    <n v="1559.09"/>
    <n v="4"/>
    <n v="0"/>
    <n v="1169.3174999999999"/>
    <n v="389.77249999999998"/>
    <n v="389.77250000000004"/>
    <s v="Vadim Bendin"/>
    <n v="3"/>
  </r>
  <r>
    <n v="1"/>
    <x v="2"/>
    <s v="ACTECH"/>
    <m/>
    <m/>
    <x v="105"/>
    <n v="9800"/>
    <n v="3"/>
    <n v="0"/>
    <n v="9800"/>
    <n v="3266.6666666666665"/>
    <n v="0"/>
    <m/>
    <n v="3"/>
  </r>
  <r>
    <n v="1"/>
    <x v="2"/>
    <s v="HILTI"/>
    <m/>
    <m/>
    <x v="106"/>
    <n v="1699.15"/>
    <n v="3"/>
    <n v="0"/>
    <n v="1699.15"/>
    <n v="566.38333333333333"/>
    <n v="0"/>
    <m/>
    <n v="3"/>
  </r>
  <r>
    <n v="10"/>
    <x v="4"/>
    <s v="CASA"/>
    <m/>
    <m/>
    <x v="107"/>
    <n v="91569.38"/>
    <n v="10"/>
    <n v="9156"/>
    <n v="24724.013999999999"/>
    <n v="8241.3379999999997"/>
    <n v="66845.366000000009"/>
    <n v="9156.94"/>
    <n v="3"/>
  </r>
  <r>
    <n v="1"/>
    <x v="3"/>
    <s v="CLARK EQUIPMENT SALES PTY LTD"/>
    <m/>
    <s v="B5OB00841"/>
    <x v="108"/>
    <n v="9475.4"/>
    <n v="5"/>
    <n v="947.54"/>
    <n v="5116.7160000000003"/>
    <n v="1705.5720000000001"/>
    <n v="4358.6839999999993"/>
    <m/>
    <n v="3"/>
  </r>
  <r>
    <n v="4"/>
    <x v="2"/>
    <s v="PLASTIC SOLUTIONS AUSTRALIA PTY LTD"/>
    <m/>
    <s v="LM2768,LM2442,LM2308,LM2772"/>
    <x v="109"/>
    <n v="2320"/>
    <n v="5"/>
    <n v="232"/>
    <n v="1252.8000000000002"/>
    <n v="417.6"/>
    <n v="1067.1999999999998"/>
    <m/>
    <n v="3"/>
  </r>
  <r>
    <n v="4"/>
    <x v="2"/>
    <s v="PLASTIC SOLUTIONS AUSTRALIA PTY LTD"/>
    <m/>
    <n v="141142143144"/>
    <x v="109"/>
    <n v="1920"/>
    <n v="5"/>
    <n v="192"/>
    <n v="1036.8000000000002"/>
    <n v="345.6"/>
    <n v="883.19999999999982"/>
    <m/>
    <n v="3"/>
  </r>
  <r>
    <n v="5"/>
    <x v="4"/>
    <s v="CASA"/>
    <m/>
    <m/>
    <x v="109"/>
    <n v="40290.53"/>
    <n v="10"/>
    <n v="4029"/>
    <n v="10878.458999999999"/>
    <n v="3626.1529999999998"/>
    <n v="29412.071"/>
    <n v="8058.1"/>
    <n v="3"/>
  </r>
  <r>
    <n v="11"/>
    <x v="4"/>
    <s v="CASA"/>
    <m/>
    <m/>
    <x v="109"/>
    <n v="100726.31"/>
    <n v="10"/>
    <n v="10072"/>
    <n v="27196.293000000001"/>
    <n v="9065.4310000000005"/>
    <n v="73530.016999999993"/>
    <n v="9156.94"/>
    <n v="3"/>
  </r>
  <r>
    <n v="1"/>
    <x v="2"/>
    <s v="TRADE TOOLS PTY LTD"/>
    <m/>
    <m/>
    <x v="110"/>
    <n v="499"/>
    <n v="5"/>
    <n v="0"/>
    <n v="299.39999999999998"/>
    <n v="99.8"/>
    <n v="199.60000000000002"/>
    <m/>
    <n v="3"/>
  </r>
  <r>
    <n v="1"/>
    <x v="1"/>
    <s v="DURAPLAS TWEED TANKS"/>
    <m/>
    <m/>
    <x v="111"/>
    <n v="1995"/>
    <n v="10"/>
    <n v="0"/>
    <n v="598.5"/>
    <n v="199.5"/>
    <n v="1396.5"/>
    <m/>
    <n v="3"/>
  </r>
  <r>
    <n v="1"/>
    <x v="2"/>
    <s v="ATOM"/>
    <m/>
    <m/>
    <x v="112"/>
    <n v="2275.25"/>
    <n v="3"/>
    <n v="0"/>
    <n v="2275.25"/>
    <n v="758.41666666666663"/>
    <n v="0"/>
    <m/>
    <n v="3"/>
  </r>
  <r>
    <n v="1"/>
    <x v="2"/>
    <s v="PLASTIC SOLUTIONS AUSTRALIA PTY LTD"/>
    <m/>
    <m/>
    <x v="112"/>
    <n v="10961.5"/>
    <n v="3"/>
    <n v="0"/>
    <n v="10961.5"/>
    <n v="3653.8333333333335"/>
    <n v="0"/>
    <m/>
    <n v="3"/>
  </r>
  <r>
    <n v="1"/>
    <x v="3"/>
    <s v="TOTAL TOOLS"/>
    <m/>
    <m/>
    <x v="113"/>
    <n v="1869"/>
    <n v="5"/>
    <n v="0"/>
    <n v="1121.4000000000001"/>
    <n v="373.8"/>
    <n v="747.59999999999991"/>
    <m/>
    <n v="3"/>
  </r>
  <r>
    <n v="1"/>
    <x v="0"/>
    <s v="RUBIKS IT"/>
    <m/>
    <m/>
    <x v="114"/>
    <n v="1333.63"/>
    <n v="4"/>
    <n v="0"/>
    <n v="1000.2225000000001"/>
    <n v="333.40750000000003"/>
    <n v="333.40750000000003"/>
    <s v="??"/>
    <n v="3"/>
  </r>
  <r>
    <n v="1"/>
    <x v="0"/>
    <s v="Officeworks"/>
    <m/>
    <m/>
    <x v="115"/>
    <n v="1547"/>
    <n v="3"/>
    <n v="0"/>
    <n v="1547"/>
    <n v="515.66666666666663"/>
    <n v="0"/>
    <s v="Rudolph"/>
    <n v="3"/>
  </r>
  <r>
    <n v="2"/>
    <x v="0"/>
    <s v="Officeworks"/>
    <m/>
    <m/>
    <x v="115"/>
    <n v="407"/>
    <n v="3"/>
    <n v="0"/>
    <n v="407"/>
    <n v="135.66666666666666"/>
    <n v="0"/>
    <m/>
    <n v="3"/>
  </r>
  <r>
    <n v="400"/>
    <x v="4"/>
    <s v="ACTECH"/>
    <m/>
    <m/>
    <x v="116"/>
    <n v="186000"/>
    <n v="7"/>
    <n v="18760"/>
    <n v="71674.28571428571"/>
    <n v="23891.428571428572"/>
    <n v="114325.71428571429"/>
    <s v="$465 each"/>
    <n v="3"/>
  </r>
  <r>
    <n v="200"/>
    <x v="4"/>
    <s v="ACTECH"/>
    <m/>
    <m/>
    <x v="116"/>
    <n v="93000"/>
    <n v="7"/>
    <n v="9300"/>
    <n v="35871.428571428572"/>
    <n v="11957.142857142857"/>
    <n v="57128.571428571428"/>
    <m/>
    <n v="3"/>
  </r>
  <r>
    <n v="30"/>
    <x v="4"/>
    <s v="ACTECH"/>
    <m/>
    <m/>
    <x v="116"/>
    <n v="27830.7"/>
    <n v="4"/>
    <n v="2783.07"/>
    <n v="18785.7225"/>
    <n v="6261.9075000000003"/>
    <n v="9044.9775000000009"/>
    <s v="$927.69 each"/>
    <n v="3"/>
  </r>
  <r>
    <n v="10"/>
    <x v="4"/>
    <s v="ACTECH"/>
    <m/>
    <m/>
    <x v="116"/>
    <n v="10633.7"/>
    <n v="4"/>
    <n v="1063.3699999999999"/>
    <n v="7177.7475000000013"/>
    <n v="2392.5825000000004"/>
    <n v="3455.9524999999994"/>
    <s v="$1063.37 each"/>
    <n v="3"/>
  </r>
  <r>
    <n v="10"/>
    <x v="4"/>
    <s v="ACTECH"/>
    <m/>
    <m/>
    <x v="116"/>
    <n v="15398.6"/>
    <n v="4"/>
    <n v="1539.86"/>
    <n v="10394.055"/>
    <n v="3464.6849999999999"/>
    <n v="5004.5450000000001"/>
    <s v="$1539.86 each"/>
    <n v="3"/>
  </r>
  <r>
    <n v="1"/>
    <x v="2"/>
    <s v="ATOM"/>
    <m/>
    <m/>
    <x v="117"/>
    <n v="2275.25"/>
    <n v="3"/>
    <n v="0"/>
    <n v="1516.8333333333333"/>
    <n v="758.41666666666663"/>
    <n v="758.41666666666674"/>
    <m/>
    <n v="2"/>
  </r>
  <r>
    <n v="2"/>
    <x v="2"/>
    <s v="PLASTIC SOLUTIONS AUSTRALIA PTY LTD"/>
    <m/>
    <m/>
    <x v="118"/>
    <n v="1160"/>
    <n v="5"/>
    <n v="116"/>
    <n v="417.6"/>
    <n v="208.8"/>
    <n v="742.4"/>
    <s v="$580 each"/>
    <n v="2"/>
  </r>
  <r>
    <n v="2"/>
    <x v="2"/>
    <s v="PLASTIC SOLUTIONS AUSTRALIA PTY LTD"/>
    <m/>
    <m/>
    <x v="118"/>
    <n v="960"/>
    <n v="5"/>
    <n v="96"/>
    <n v="345.6"/>
    <n v="172.8"/>
    <n v="614.4"/>
    <s v="$480 each"/>
    <n v="2"/>
  </r>
  <r>
    <n v="2"/>
    <x v="2"/>
    <s v="PLASTIC SOLUTIONS AUSTRALIA PTY LTD"/>
    <m/>
    <m/>
    <x v="119"/>
    <n v="960"/>
    <n v="5"/>
    <n v="96"/>
    <n v="345.6"/>
    <n v="172.8"/>
    <n v="614.4"/>
    <s v="$480 each"/>
    <n v="2"/>
  </r>
  <r>
    <n v="1"/>
    <x v="2"/>
    <s v="ABSOLUTE LIFTING &amp; SAFETY"/>
    <m/>
    <m/>
    <x v="120"/>
    <n v="16556.099999999999"/>
    <n v="5"/>
    <n v="1655.61"/>
    <n v="5960.195999999999"/>
    <n v="2980.0979999999995"/>
    <n v="10595.903999999999"/>
    <m/>
    <n v="2"/>
  </r>
  <r>
    <n v="4"/>
    <x v="2"/>
    <s v="PLASTIC SOLUTIONS AUSTRALIA PTY LTD"/>
    <m/>
    <s v="LMP-0250 LMP-0242 LMP-0240 LMP-0251"/>
    <x v="121"/>
    <n v="4200"/>
    <n v="5"/>
    <n v="420"/>
    <n v="1512"/>
    <n v="756"/>
    <n v="2688"/>
    <m/>
    <n v="2"/>
  </r>
  <r>
    <n v="1"/>
    <x v="2"/>
    <s v="PLASTIC SOLUTIONS AUSTRALIA PTY LTD"/>
    <m/>
    <s v="22C26071"/>
    <x v="122"/>
    <n v="10961.5"/>
    <n v="3"/>
    <n v="0"/>
    <n v="7307.666666666667"/>
    <n v="3653.8333333333335"/>
    <n v="3653.833333333333"/>
    <m/>
    <n v="2"/>
  </r>
  <r>
    <n v="2"/>
    <x v="2"/>
    <s v="PLASTIC SOLUTIONS AUSTRALIA PTY LTD"/>
    <m/>
    <s v="22C26009"/>
    <x v="122"/>
    <n v="10961.5"/>
    <n v="3"/>
    <n v="0"/>
    <n v="7307.666666666667"/>
    <n v="3653.8333333333335"/>
    <n v="3653.833333333333"/>
    <m/>
    <n v="2"/>
  </r>
  <r>
    <n v="1"/>
    <x v="2"/>
    <s v="ACTECH"/>
    <m/>
    <s v="71CC42"/>
    <x v="122"/>
    <n v="9693"/>
    <n v="5"/>
    <n v="420"/>
    <n v="3709.2"/>
    <n v="1854.6"/>
    <n v="5983.8"/>
    <m/>
    <n v="2"/>
  </r>
  <r>
    <n v="4"/>
    <x v="2"/>
    <s v="PLASTIC SOLUTIONS AUSTRALIA PTY LTD"/>
    <m/>
    <s v="307 304 315 309"/>
    <x v="123"/>
    <n v="1920"/>
    <n v="5"/>
    <n v="192"/>
    <n v="691.2"/>
    <n v="345.6"/>
    <n v="1228.8"/>
    <s v="$480 each"/>
    <n v="2"/>
  </r>
  <r>
    <n v="4"/>
    <x v="2"/>
    <s v="PLASTIC SOLUTIONS AUSTRALIA PTY LTD"/>
    <m/>
    <s v="2592 2593 2517 2509"/>
    <x v="123"/>
    <n v="2320"/>
    <n v="5"/>
    <n v="232"/>
    <n v="835.2"/>
    <n v="417.6"/>
    <n v="1484.8"/>
    <s v="$580 each"/>
    <n v="2"/>
  </r>
  <r>
    <n v="1"/>
    <x v="2"/>
    <s v="BOC"/>
    <m/>
    <m/>
    <x v="124"/>
    <n v="5956.36"/>
    <n v="10"/>
    <n v="0"/>
    <n v="1191.2719999999999"/>
    <n v="595.63599999999997"/>
    <n v="4765.0879999999997"/>
    <m/>
    <n v="2"/>
  </r>
  <r>
    <n v="1"/>
    <x v="2"/>
    <s v="TOTAL TOOLS"/>
    <m/>
    <m/>
    <x v="125"/>
    <n v="1060"/>
    <n v="5"/>
    <n v="0"/>
    <n v="424"/>
    <n v="212"/>
    <n v="636"/>
    <m/>
    <n v="2"/>
  </r>
  <r>
    <n v="1"/>
    <x v="2"/>
    <s v="PLASTIC SOLUTIONS AUSTRALIA PTY LTD"/>
    <m/>
    <m/>
    <x v="125"/>
    <n v="10961.5"/>
    <n v="3"/>
    <n v="0"/>
    <n v="7307.666666666667"/>
    <n v="3653.8333333333335"/>
    <n v="3653.833333333333"/>
    <m/>
    <n v="2"/>
  </r>
  <r>
    <n v="1"/>
    <x v="2"/>
    <s v="ABSOLUTE LIFTING &amp; SAFETY"/>
    <m/>
    <m/>
    <x v="126"/>
    <n v="16556.099999999999"/>
    <n v="5"/>
    <n v="1655.61"/>
    <n v="5960.195999999999"/>
    <n v="2980.0979999999995"/>
    <n v="10595.903999999999"/>
    <m/>
    <n v="2"/>
  </r>
  <r>
    <n v="2"/>
    <x v="2"/>
    <s v="Premier Concrete Equipment"/>
    <m/>
    <m/>
    <x v="127"/>
    <n v="5606.6"/>
    <n v="5"/>
    <n v="0"/>
    <n v="2242.6400000000003"/>
    <n v="1121.3200000000002"/>
    <n v="3363.96"/>
    <s v="2803.30 each"/>
    <n v="2"/>
  </r>
  <r>
    <n v="1"/>
    <x v="0"/>
    <s v="RUBIKS IT"/>
    <m/>
    <m/>
    <x v="128"/>
    <n v="795"/>
    <n v="3"/>
    <n v="0"/>
    <n v="530"/>
    <n v="265"/>
    <n v="265"/>
    <m/>
    <n v="2"/>
  </r>
  <r>
    <n v="1"/>
    <x v="2"/>
    <s v="ALLCON GROUP PTY LTD"/>
    <m/>
    <m/>
    <x v="129"/>
    <n v="2495"/>
    <n v="5"/>
    <n v="0"/>
    <n v="998"/>
    <n v="499"/>
    <n v="1497"/>
    <m/>
    <n v="2"/>
  </r>
  <r>
    <n v="4"/>
    <x v="2"/>
    <s v="PLASTIC SOLUTIONS AUSTRALIA PTY LTD"/>
    <m/>
    <m/>
    <x v="130"/>
    <n v="2320"/>
    <n v="5"/>
    <n v="232"/>
    <n v="835.2"/>
    <n v="417.6"/>
    <n v="1484.8"/>
    <m/>
    <n v="2"/>
  </r>
  <r>
    <n v="1"/>
    <x v="2"/>
    <s v="PLASTIC SOLUTIONS AUSTRALIA PTY LTD"/>
    <m/>
    <m/>
    <x v="131"/>
    <n v="10961.5"/>
    <n v="3"/>
    <n v="0"/>
    <n v="7307.666666666667"/>
    <n v="3653.8333333333335"/>
    <n v="3653.833333333333"/>
    <m/>
    <n v="2"/>
  </r>
  <r>
    <n v="1"/>
    <x v="2"/>
    <s v="TRADE TOOLS PTY LTD"/>
    <m/>
    <m/>
    <x v="132"/>
    <n v="1087.27"/>
    <n v="3"/>
    <n v="0"/>
    <n v="724.84666666666669"/>
    <n v="362.42333333333335"/>
    <n v="362.42333333333329"/>
    <m/>
    <n v="2"/>
  </r>
  <r>
    <n v="1"/>
    <x v="2"/>
    <s v="ABSOLUTE LIFTING &amp; SAFETY"/>
    <m/>
    <m/>
    <x v="133"/>
    <n v="7980"/>
    <n v="5"/>
    <n v="798"/>
    <n v="2872.8"/>
    <n v="1436.4"/>
    <n v="5107.2"/>
    <m/>
    <n v="2"/>
  </r>
  <r>
    <n v="1"/>
    <x v="2"/>
    <s v="PLASTIC SOLUTIONS AUSTRALIA PTY LTD"/>
    <m/>
    <m/>
    <x v="134"/>
    <n v="10961.5"/>
    <n v="3"/>
    <n v="0"/>
    <n v="7307.666666666667"/>
    <n v="3653.8333333333335"/>
    <n v="3653.833333333333"/>
    <m/>
    <n v="2"/>
  </r>
  <r>
    <m/>
    <x v="2"/>
    <s v="ABSOLUTE LIFTING &amp; SAFETY"/>
    <m/>
    <m/>
    <x v="135"/>
    <n v="10318"/>
    <n v="5"/>
    <n v="1031.8"/>
    <n v="3714.4800000000005"/>
    <n v="1857.2400000000002"/>
    <n v="6603.5199999999995"/>
    <m/>
    <n v="2"/>
  </r>
  <r>
    <n v="1"/>
    <x v="2"/>
    <s v="ABSOLUTE LIFTING &amp; SAFETY"/>
    <m/>
    <m/>
    <x v="136"/>
    <n v="16305"/>
    <n v="5"/>
    <n v="1630.5"/>
    <n v="5869.8"/>
    <n v="2934.9"/>
    <n v="10435.200000000001"/>
    <m/>
    <n v="2"/>
  </r>
  <r>
    <n v="1"/>
    <x v="2"/>
    <s v="TOTAL TOOLS"/>
    <m/>
    <m/>
    <x v="136"/>
    <n v="963.64"/>
    <n v="3"/>
    <n v="0"/>
    <n v="642.42666666666662"/>
    <n v="321.21333333333331"/>
    <n v="321.21333333333337"/>
    <m/>
    <n v="2"/>
  </r>
  <r>
    <n v="4"/>
    <x v="2"/>
    <s v="ABSOLUTE LIFTING &amp; SAFETY"/>
    <m/>
    <m/>
    <x v="137"/>
    <n v="2320"/>
    <n v="5"/>
    <n v="232"/>
    <n v="835.2"/>
    <n v="417.6"/>
    <n v="1484.8"/>
    <m/>
    <n v="2"/>
  </r>
  <r>
    <n v="4"/>
    <x v="2"/>
    <s v="ABSOLUTE LIFTING &amp; SAFETY"/>
    <m/>
    <m/>
    <x v="137"/>
    <n v="1920"/>
    <n v="5"/>
    <n v="192"/>
    <n v="691.2"/>
    <n v="345.6"/>
    <n v="1228.8"/>
    <m/>
    <n v="2"/>
  </r>
  <r>
    <m/>
    <x v="2"/>
    <s v="DOKA"/>
    <m/>
    <m/>
    <x v="138"/>
    <n v="19401.45"/>
    <n v="5"/>
    <n v="1940.15"/>
    <n v="6984.5199999999995"/>
    <n v="3492.2599999999998"/>
    <n v="12416.93"/>
    <m/>
    <n v="2"/>
  </r>
  <r>
    <m/>
    <x v="2"/>
    <s v="DOKA"/>
    <m/>
    <m/>
    <x v="138"/>
    <n v="59549.85"/>
    <n v="5"/>
    <n v="5954.98"/>
    <n v="21437.947999999997"/>
    <n v="10718.973999999998"/>
    <n v="38111.902000000002"/>
    <m/>
    <n v="2"/>
  </r>
  <r>
    <n v="1"/>
    <x v="0"/>
    <s v="RUBIKS IT"/>
    <m/>
    <m/>
    <x v="138"/>
    <n v="2417.27"/>
    <n v="3"/>
    <n v="0"/>
    <n v="1611.5133333333333"/>
    <n v="805.75666666666666"/>
    <n v="805.75666666666666"/>
    <s v="Mateo Delos Reyes"/>
    <n v="2"/>
  </r>
  <r>
    <n v="1"/>
    <x v="0"/>
    <s v="RUBIKS IT"/>
    <m/>
    <m/>
    <x v="139"/>
    <n v="2417.27"/>
    <n v="3"/>
    <n v="0"/>
    <n v="1611.5133333333333"/>
    <n v="805.75666666666666"/>
    <n v="805.75666666666666"/>
    <s v="Louise Hac Le"/>
    <n v="2"/>
  </r>
  <r>
    <n v="1"/>
    <x v="2"/>
    <s v="LYNDONS PTY LTD"/>
    <m/>
    <m/>
    <x v="140"/>
    <n v="1165.23"/>
    <n v="5"/>
    <n v="0"/>
    <n v="466.09199999999998"/>
    <n v="233.04599999999999"/>
    <n v="699.13800000000003"/>
    <m/>
    <n v="2"/>
  </r>
  <r>
    <n v="1"/>
    <x v="0"/>
    <s v="RUBIKS IT"/>
    <m/>
    <m/>
    <x v="141"/>
    <n v="5389"/>
    <n v="3"/>
    <n v="0"/>
    <n v="3592.6666666666665"/>
    <n v="1796.3333333333333"/>
    <n v="1796.3333333333335"/>
    <s v="Chris Morrison"/>
    <n v="2"/>
  </r>
  <r>
    <n v="1"/>
    <x v="0"/>
    <s v="Officeworks"/>
    <m/>
    <m/>
    <x v="142"/>
    <n v="996"/>
    <n v="3"/>
    <n v="0"/>
    <n v="664"/>
    <n v="332"/>
    <n v="332"/>
    <s v="Heath"/>
    <n v="2"/>
  </r>
  <r>
    <n v="2"/>
    <x v="0"/>
    <s v="Officeworks"/>
    <m/>
    <m/>
    <x v="143"/>
    <n v="1397"/>
    <n v="3"/>
    <n v="0"/>
    <n v="931.33333333333337"/>
    <n v="465.66666666666669"/>
    <n v="465.66666666666663"/>
    <s v="?"/>
    <n v="2"/>
  </r>
  <r>
    <n v="1"/>
    <x v="0"/>
    <s v="RUBIKS IT"/>
    <m/>
    <m/>
    <x v="144"/>
    <n v="5389"/>
    <n v="3"/>
    <n v="0"/>
    <n v="3592.6666666666665"/>
    <n v="1796.3333333333333"/>
    <n v="1796.3333333333335"/>
    <s v="James Moller"/>
    <n v="2"/>
  </r>
  <r>
    <n v="1"/>
    <x v="0"/>
    <s v="RUBIKS IT"/>
    <m/>
    <m/>
    <x v="145"/>
    <n v="3198"/>
    <n v="3"/>
    <n v="0"/>
    <n v="2132"/>
    <n v="1066"/>
    <n v="1066"/>
    <s v="Shaya Treasure"/>
    <n v="2"/>
  </r>
  <r>
    <n v="15"/>
    <x v="2"/>
    <s v="Officeworks"/>
    <m/>
    <m/>
    <x v="145"/>
    <n v="4485"/>
    <n v="5"/>
    <n v="0"/>
    <n v="1794"/>
    <n v="897"/>
    <n v="2691"/>
    <m/>
    <n v="2"/>
  </r>
  <r>
    <n v="1"/>
    <x v="2"/>
    <s v="Metro Welder Services"/>
    <m/>
    <m/>
    <x v="146"/>
    <n v="4870"/>
    <n v="3"/>
    <n v="0"/>
    <n v="3246.6666666666665"/>
    <n v="1623.3333333333333"/>
    <n v="1623.3333333333335"/>
    <m/>
    <n v="2"/>
  </r>
  <r>
    <n v="1"/>
    <x v="2"/>
    <s v="ABSOLUTE LIFTING &amp; SAFETY"/>
    <m/>
    <m/>
    <x v="146"/>
    <n v="2958"/>
    <n v="5"/>
    <n v="295.8"/>
    <n v="1064.8799999999999"/>
    <n v="532.43999999999994"/>
    <n v="1893.1200000000001"/>
    <m/>
    <n v="2"/>
  </r>
  <r>
    <n v="1"/>
    <x v="2"/>
    <s v="ABSOLUTE LIFTING &amp; SAFETY"/>
    <m/>
    <m/>
    <x v="146"/>
    <n v="5395"/>
    <n v="5"/>
    <n v="539.5"/>
    <n v="1942.2"/>
    <n v="971.1"/>
    <n v="3452.8"/>
    <m/>
    <n v="2"/>
  </r>
  <r>
    <n v="1"/>
    <x v="0"/>
    <s v="RUBIKS IT"/>
    <m/>
    <m/>
    <x v="147"/>
    <n v="1211.5"/>
    <n v="3"/>
    <n v="0"/>
    <n v="807.66666666666663"/>
    <n v="403.83333333333331"/>
    <n v="403.83333333333337"/>
    <s v="Wall computer - production office"/>
    <n v="2"/>
  </r>
  <r>
    <n v="1"/>
    <x v="0"/>
    <s v="Officeworks"/>
    <m/>
    <m/>
    <x v="148"/>
    <n v="497"/>
    <n v="3"/>
    <n v="0"/>
    <n v="331.33333333333331"/>
    <n v="165.66666666666666"/>
    <n v="165.66666666666669"/>
    <m/>
    <n v="2"/>
  </r>
  <r>
    <n v="2"/>
    <x v="2"/>
    <s v="ABSOLUTE LIFTING &amp; SAFETY"/>
    <m/>
    <m/>
    <x v="149"/>
    <n v="3290"/>
    <n v="5"/>
    <n v="329"/>
    <n v="1184.4000000000001"/>
    <n v="592.20000000000005"/>
    <n v="2105.6"/>
    <m/>
    <n v="2"/>
  </r>
  <r>
    <n v="1"/>
    <x v="2"/>
    <s v="PLASTIC SOLUTIONS AUSTRALIA PTY LTD"/>
    <m/>
    <m/>
    <x v="150"/>
    <n v="580"/>
    <n v="5"/>
    <n v="58"/>
    <n v="208.8"/>
    <n v="104.4"/>
    <n v="371.2"/>
    <m/>
    <n v="2"/>
  </r>
  <r>
    <n v="1"/>
    <x v="0"/>
    <s v="Officeworks"/>
    <m/>
    <m/>
    <x v="151"/>
    <n v="987"/>
    <n v="3"/>
    <n v="0"/>
    <n v="658"/>
    <n v="329"/>
    <n v="329"/>
    <m/>
    <n v="2"/>
  </r>
  <r>
    <n v="1"/>
    <x v="0"/>
    <s v="Officeworks"/>
    <m/>
    <m/>
    <x v="152"/>
    <n v="1837"/>
    <n v="3"/>
    <n v="0"/>
    <n v="1224.6666666666667"/>
    <n v="612.33333333333337"/>
    <n v="612.33333333333326"/>
    <m/>
    <n v="2"/>
  </r>
  <r>
    <n v="1"/>
    <x v="0"/>
    <s v="RUBIKS IT"/>
    <m/>
    <m/>
    <x v="153"/>
    <n v="3080"/>
    <n v="3"/>
    <n v="0"/>
    <n v="2053.3333333333335"/>
    <n v="1026.6666666666667"/>
    <n v="1026.6666666666665"/>
    <s v="Annie Cacau"/>
    <n v="2"/>
  </r>
  <r>
    <n v="1"/>
    <x v="0"/>
    <s v="RUBIKS IT"/>
    <m/>
    <m/>
    <x v="153"/>
    <n v="1672.72"/>
    <n v="3"/>
    <n v="0"/>
    <n v="1115.1466666666668"/>
    <n v="557.57333333333338"/>
    <n v="557.57333333333327"/>
    <s v="Ben Pascoe"/>
    <n v="2"/>
  </r>
  <r>
    <n v="1"/>
    <x v="0"/>
    <s v="RUBIKS IT"/>
    <m/>
    <m/>
    <x v="154"/>
    <n v="1672.72"/>
    <n v="3"/>
    <n v="0"/>
    <n v="1115.1466666666668"/>
    <n v="557.57333333333338"/>
    <n v="557.57333333333327"/>
    <s v="Control  for CNC Mac"/>
    <n v="2"/>
  </r>
  <r>
    <n v="1"/>
    <x v="2"/>
    <s v="ABSOLUTE LIFTING &amp; SAFETY"/>
    <m/>
    <m/>
    <x v="155"/>
    <n v="4125"/>
    <n v="5"/>
    <n v="0"/>
    <n v="1650"/>
    <n v="825"/>
    <n v="2475"/>
    <m/>
    <n v="2"/>
  </r>
  <r>
    <n v="1"/>
    <x v="3"/>
    <s v="Signs Essentials"/>
    <m/>
    <m/>
    <x v="155"/>
    <n v="74950"/>
    <n v="5"/>
    <n v="7495"/>
    <n v="26982"/>
    <n v="13491"/>
    <n v="47968"/>
    <m/>
    <n v="2"/>
  </r>
  <r>
    <n v="4"/>
    <x v="2"/>
    <s v="PLASTIC SOLUTIONS AUSTRALIA PTY LTD"/>
    <m/>
    <m/>
    <x v="155"/>
    <n v="3140"/>
    <n v="5"/>
    <n v="314"/>
    <n v="1130.4000000000001"/>
    <n v="565.20000000000005"/>
    <n v="2009.6"/>
    <s v="$785 each"/>
    <n v="2"/>
  </r>
  <r>
    <n v="4"/>
    <x v="2"/>
    <s v="PLASTIC SOLUTIONS AUSTRALIA PTY LTD"/>
    <m/>
    <m/>
    <x v="155"/>
    <n v="3140"/>
    <n v="5"/>
    <n v="314"/>
    <n v="1130.4000000000001"/>
    <n v="565.20000000000005"/>
    <n v="2009.6"/>
    <s v="$785 each"/>
    <n v="2"/>
  </r>
  <r>
    <n v="4"/>
    <x v="2"/>
    <s v="PLASTIC SOLUTIONS AUSTRALIA PTY LTD"/>
    <m/>
    <m/>
    <x v="156"/>
    <n v="2340"/>
    <n v="5"/>
    <n v="234"/>
    <n v="842.4"/>
    <n v="421.2"/>
    <n v="1497.6"/>
    <s v="$580 each"/>
    <n v="2"/>
  </r>
  <r>
    <n v="8"/>
    <x v="2"/>
    <s v="PLASTIC SOLUTIONS AUSTRALIA PTY LTD"/>
    <m/>
    <m/>
    <x v="156"/>
    <n v="6280"/>
    <n v="5"/>
    <n v="628"/>
    <n v="2260.8000000000002"/>
    <n v="1130.4000000000001"/>
    <n v="4019.2"/>
    <s v="$785 each"/>
    <n v="2"/>
  </r>
  <r>
    <n v="1"/>
    <x v="3"/>
    <s v="Fork Force Group"/>
    <m/>
    <s v="S2303052"/>
    <x v="157"/>
    <n v="9889"/>
    <n v="10"/>
    <n v="988.9"/>
    <n v="1780.02"/>
    <n v="890.01"/>
    <n v="8108.98"/>
    <m/>
    <n v="2"/>
  </r>
  <r>
    <n v="1"/>
    <x v="3"/>
    <s v="TOTAL TOOLS"/>
    <m/>
    <m/>
    <x v="158"/>
    <n v="2152.6999999999998"/>
    <n v="5"/>
    <n v="0"/>
    <n v="861.07999999999993"/>
    <n v="430.53999999999996"/>
    <n v="1291.6199999999999"/>
    <m/>
    <n v="2"/>
  </r>
  <r>
    <n v="1"/>
    <x v="3"/>
    <s v="TOTAL TOOLS"/>
    <m/>
    <m/>
    <x v="159"/>
    <n v="1499"/>
    <n v="5"/>
    <n v="0"/>
    <n v="599.6"/>
    <n v="299.8"/>
    <n v="899.4"/>
    <m/>
    <n v="2"/>
  </r>
  <r>
    <n v="8"/>
    <x v="2"/>
    <s v="MCMILLAN ENGINEERING GROUP"/>
    <m/>
    <m/>
    <x v="160"/>
    <n v="9200"/>
    <n v="5"/>
    <n v="0"/>
    <n v="3680"/>
    <n v="1840"/>
    <n v="5520"/>
    <s v="$1150 each"/>
    <n v="2"/>
  </r>
  <r>
    <n v="2"/>
    <x v="2"/>
    <s v="MCMILLAN ENGINEERING GROUP"/>
    <m/>
    <m/>
    <x v="160"/>
    <n v="8560"/>
    <n v="5"/>
    <n v="0"/>
    <n v="3424"/>
    <n v="1712"/>
    <n v="5136"/>
    <s v="$4280 each"/>
    <n v="2"/>
  </r>
  <r>
    <n v="1"/>
    <x v="2"/>
    <s v="MCMILLAN ENGINEERING GROUP"/>
    <m/>
    <m/>
    <x v="160"/>
    <n v="92012.800000000003"/>
    <n v="10"/>
    <n v="0"/>
    <n v="18402.560000000001"/>
    <n v="9201.2800000000007"/>
    <n v="73610.240000000005"/>
    <m/>
    <n v="2"/>
  </r>
  <r>
    <n v="2"/>
    <x v="2"/>
    <s v="MCMILLAN ENGINEERING GROUP"/>
    <m/>
    <m/>
    <x v="160"/>
    <n v="43776"/>
    <n v="5"/>
    <n v="0"/>
    <n v="17510.400000000001"/>
    <n v="8755.2000000000007"/>
    <n v="26265.599999999999"/>
    <s v="$21,888 each"/>
    <n v="2"/>
  </r>
  <r>
    <n v="16"/>
    <x v="2"/>
    <s v="MCMILLAN ENGINEERING GROUP"/>
    <m/>
    <m/>
    <x v="160"/>
    <n v="80870"/>
    <n v="10"/>
    <n v="0"/>
    <n v="16174"/>
    <n v="8087"/>
    <n v="64696"/>
    <s v="$5054.37 each"/>
    <n v="2"/>
  </r>
  <r>
    <n v="4"/>
    <x v="2"/>
    <s v="MCMILLAN ENGINEERING GROUP"/>
    <m/>
    <m/>
    <x v="160"/>
    <n v="6720"/>
    <n v="10"/>
    <n v="0"/>
    <n v="1344"/>
    <n v="672"/>
    <n v="5376"/>
    <s v="1680 each"/>
    <n v="2"/>
  </r>
  <r>
    <m/>
    <x v="2"/>
    <s v="DOKA"/>
    <m/>
    <m/>
    <x v="160"/>
    <n v="396842.94"/>
    <n v="5"/>
    <n v="39684.29"/>
    <n v="142863.46000000002"/>
    <n v="71431.73000000001"/>
    <n v="253979.47999999998"/>
    <m/>
    <n v="2"/>
  </r>
  <r>
    <m/>
    <x v="2"/>
    <s v="DOKA"/>
    <m/>
    <m/>
    <x v="160"/>
    <n v="567646.71999999997"/>
    <n v="5"/>
    <n v="56764.67"/>
    <n v="204352.82"/>
    <n v="102176.41"/>
    <n v="363293.89999999997"/>
    <m/>
    <n v="2"/>
  </r>
  <r>
    <n v="1"/>
    <x v="3"/>
    <s v="Hare &amp; Forbes Machinery House"/>
    <m/>
    <m/>
    <x v="161"/>
    <n v="63767"/>
    <n v="10"/>
    <n v="6376.7"/>
    <n v="11478.060000000001"/>
    <n v="5739.0300000000007"/>
    <n v="52288.94"/>
    <m/>
    <n v="2"/>
  </r>
  <r>
    <m/>
    <x v="2"/>
    <s v="DOKA"/>
    <m/>
    <m/>
    <x v="162"/>
    <n v="200417.49"/>
    <n v="5"/>
    <n v="20041.740000000002"/>
    <n v="72150.3"/>
    <n v="36075.15"/>
    <n v="128267.18999999999"/>
    <m/>
    <n v="2"/>
  </r>
  <r>
    <n v="4"/>
    <x v="2"/>
    <s v="ABSOLUTE LIFTING &amp; SAFETY"/>
    <m/>
    <m/>
    <x v="163"/>
    <n v="2780"/>
    <n v="5"/>
    <n v="0"/>
    <n v="556"/>
    <n v="556"/>
    <n v="2224"/>
    <n v="695"/>
    <n v="1"/>
  </r>
  <r>
    <n v="4"/>
    <x v="2"/>
    <s v="PLASTIC SOLUTIONS AUSTRALIA PTY LTD"/>
    <m/>
    <m/>
    <x v="163"/>
    <n v="2320"/>
    <n v="5"/>
    <n v="0"/>
    <n v="464"/>
    <n v="464"/>
    <n v="1856"/>
    <s v="$580 each"/>
    <n v="1"/>
  </r>
  <r>
    <n v="1"/>
    <x v="3"/>
    <s v="TOTAL TOOLS"/>
    <m/>
    <m/>
    <x v="164"/>
    <n v="1999"/>
    <n v="5"/>
    <n v="0"/>
    <n v="399.8"/>
    <n v="399.8"/>
    <n v="1599.2"/>
    <m/>
    <n v="1"/>
  </r>
  <r>
    <n v="2"/>
    <x v="2"/>
    <s v="ALLCON GROUP PTY LTD"/>
    <m/>
    <m/>
    <x v="165"/>
    <n v="4800"/>
    <n v="5"/>
    <n v="0"/>
    <n v="960"/>
    <n v="960"/>
    <n v="3840"/>
    <s v="$2400 each"/>
    <n v="1"/>
  </r>
  <r>
    <n v="1"/>
    <x v="2"/>
    <s v="TOTAL TOOLS"/>
    <m/>
    <m/>
    <x v="166"/>
    <n v="4645.28"/>
    <n v="5"/>
    <n v="0"/>
    <n v="929.05599999999993"/>
    <n v="929.05599999999993"/>
    <n v="3716.2239999999997"/>
    <m/>
    <n v="1"/>
  </r>
  <r>
    <n v="1"/>
    <x v="2"/>
    <s v="TOTAL TOOLS"/>
    <m/>
    <m/>
    <x v="167"/>
    <n v="771.82"/>
    <n v="5"/>
    <n v="0"/>
    <n v="154.364"/>
    <n v="154.364"/>
    <n v="617.45600000000002"/>
    <m/>
    <n v="1"/>
  </r>
  <r>
    <n v="1"/>
    <x v="2"/>
    <s v="TOTAL TOOLS"/>
    <m/>
    <m/>
    <x v="167"/>
    <n v="1294.55"/>
    <n v="5"/>
    <n v="0"/>
    <n v="258.90999999999997"/>
    <n v="258.90999999999997"/>
    <n v="1035.6399999999999"/>
    <m/>
    <n v="1"/>
  </r>
  <r>
    <n v="1"/>
    <x v="2"/>
    <s v="ABSOLUTE LIFTING &amp; SAFETY"/>
    <m/>
    <m/>
    <x v="168"/>
    <n v="7980"/>
    <n v="5"/>
    <n v="0"/>
    <n v="1596"/>
    <n v="1596"/>
    <n v="6384"/>
    <m/>
    <n v="1"/>
  </r>
  <r>
    <n v="1"/>
    <x v="2"/>
    <s v="TOTAL TOOLS"/>
    <m/>
    <m/>
    <x v="169"/>
    <n v="817.27"/>
    <n v="5"/>
    <n v="0"/>
    <n v="163.45400000000001"/>
    <n v="163.45400000000001"/>
    <n v="653.81600000000003"/>
    <m/>
    <n v="1"/>
  </r>
  <r>
    <n v="1"/>
    <x v="2"/>
    <s v="BOC"/>
    <m/>
    <m/>
    <x v="170"/>
    <n v="1569.83"/>
    <n v="5"/>
    <n v="0"/>
    <n v="313.96600000000001"/>
    <n v="313.96600000000001"/>
    <n v="1255.864"/>
    <m/>
    <n v="1"/>
  </r>
  <r>
    <n v="1"/>
    <x v="3"/>
    <s v="CRANEMAINTAN"/>
    <m/>
    <m/>
    <x v="171"/>
    <n v="13500"/>
    <n v="10"/>
    <n v="0"/>
    <n v="1350"/>
    <n v="1350"/>
    <n v="12150"/>
    <m/>
    <n v="1"/>
  </r>
  <r>
    <n v="1"/>
    <x v="2"/>
    <s v="Premier Concrete Equipment"/>
    <m/>
    <s v="Y2310085"/>
    <x v="172"/>
    <n v="2500"/>
    <n v="5"/>
    <n v="0"/>
    <n v="500"/>
    <n v="500"/>
    <n v="2000"/>
    <m/>
    <n v="1"/>
  </r>
  <r>
    <n v="50"/>
    <x v="2"/>
    <s v="ACTECH"/>
    <m/>
    <m/>
    <x v="172"/>
    <n v="23250"/>
    <n v="7"/>
    <n v="2325"/>
    <n v="2989.2857142857142"/>
    <n v="2989.2857142857142"/>
    <n v="20260.714285714286"/>
    <m/>
    <n v="1"/>
  </r>
  <r>
    <n v="1"/>
    <x v="2"/>
    <s v="Premier Concrete Equipment"/>
    <m/>
    <s v="Y2310019"/>
    <x v="173"/>
    <n v="2500"/>
    <n v="5"/>
    <n v="0"/>
    <n v="500"/>
    <n v="500"/>
    <n v="2000"/>
    <m/>
    <n v="1"/>
  </r>
  <r>
    <n v="1"/>
    <x v="2"/>
    <s v="ABSOLUTE LIFTING &amp; SAFETY"/>
    <m/>
    <m/>
    <x v="174"/>
    <n v="15377"/>
    <n v="5"/>
    <n v="0"/>
    <n v="3075.4"/>
    <n v="3075.4"/>
    <n v="12301.6"/>
    <m/>
    <n v="1"/>
  </r>
  <r>
    <n v="1"/>
    <x v="2"/>
    <s v="ABSOLUTE LIFTING &amp; SAFETY"/>
    <m/>
    <m/>
    <x v="174"/>
    <n v="15377"/>
    <n v="5"/>
    <n v="0"/>
    <n v="3075.4"/>
    <n v="3075.4"/>
    <n v="12301.6"/>
    <m/>
    <n v="1"/>
  </r>
  <r>
    <n v="1"/>
    <x v="3"/>
    <s v="GLEASON CRANES SALES AND RENTALS GROUP PTY LTD"/>
    <m/>
    <m/>
    <x v="175"/>
    <n v="195000"/>
    <n v="10"/>
    <n v="19500"/>
    <n v="17550"/>
    <n v="17550"/>
    <n v="177450"/>
    <m/>
    <n v="1"/>
  </r>
  <r>
    <m/>
    <x v="2"/>
    <s v="DOKA"/>
    <m/>
    <m/>
    <x v="176"/>
    <n v="332279.09999999998"/>
    <n v="5"/>
    <n v="33227.910000000003"/>
    <n v="59810.23799999999"/>
    <n v="59810.23799999999"/>
    <n v="272468.86199999996"/>
    <m/>
    <n v="1"/>
  </r>
  <r>
    <m/>
    <x v="2"/>
    <s v="DOKA"/>
    <m/>
    <m/>
    <x v="176"/>
    <n v="621682.30000000005"/>
    <n v="5"/>
    <n v="62168.23"/>
    <n v="111902.81400000001"/>
    <n v="111902.81400000001"/>
    <n v="509779.48600000003"/>
    <m/>
    <n v="1"/>
  </r>
  <r>
    <n v="4"/>
    <x v="2"/>
    <s v="ABSOLUTE LIFTING &amp; SAFETY"/>
    <m/>
    <m/>
    <x v="177"/>
    <n v="3740"/>
    <n v="5"/>
    <n v="0"/>
    <n v="748"/>
    <n v="748"/>
    <n v="2992"/>
    <s v="$935 each"/>
    <n v="1"/>
  </r>
  <r>
    <n v="4"/>
    <x v="2"/>
    <s v="ABSOLUTE LIFTING &amp; SAFETY"/>
    <m/>
    <m/>
    <x v="178"/>
    <n v="4900"/>
    <n v="5"/>
    <n v="0"/>
    <n v="980"/>
    <n v="980"/>
    <n v="3920"/>
    <s v="$1225 each"/>
    <n v="1"/>
  </r>
  <r>
    <n v="11"/>
    <x v="2"/>
    <s v="ABSOLUTE LIFTING &amp; SAFETY"/>
    <m/>
    <m/>
    <x v="179"/>
    <n v="12196.8"/>
    <n v="5"/>
    <n v="0"/>
    <n v="2439.3599999999997"/>
    <n v="2439.3599999999997"/>
    <n v="9757.4399999999987"/>
    <s v="$1,108-80 each"/>
    <n v="1"/>
  </r>
  <r>
    <n v="10"/>
    <x v="2"/>
    <s v="ABSOLUTE LIFTING &amp; SAFETY"/>
    <m/>
    <m/>
    <x v="179"/>
    <n v="5800"/>
    <n v="5"/>
    <n v="0"/>
    <n v="1160"/>
    <n v="1160"/>
    <n v="4640"/>
    <s v="$580 each"/>
    <n v="1"/>
  </r>
  <r>
    <n v="1"/>
    <x v="3"/>
    <s v="AUSTRALIAN POWER COMPANY"/>
    <m/>
    <s v="G00A008156"/>
    <x v="180"/>
    <n v="28800"/>
    <n v="10"/>
    <n v="0"/>
    <n v="28800"/>
    <n v="5760"/>
    <n v="0"/>
    <s v="Traded in for DENYO DCA-100 USI 80KVA"/>
    <n v="0"/>
  </r>
  <r>
    <n v="1"/>
    <x v="3"/>
    <s v="South Pacific Welding"/>
    <m/>
    <m/>
    <x v="181"/>
    <n v="33390.18"/>
    <n v="5"/>
    <n v="0"/>
    <n v="6678.0360000000001"/>
    <n v="6678.0360000000001"/>
    <n v="26712.144"/>
    <m/>
    <n v="1"/>
  </r>
  <r>
    <n v="100"/>
    <x v="4"/>
    <s v="TOTAL STEEL OF AUSTRALIA PTY LTD"/>
    <m/>
    <m/>
    <x v="182"/>
    <n v="14660"/>
    <n v="5"/>
    <n v="1438"/>
    <n v="2644.4"/>
    <n v="2644.4"/>
    <n v="12015.6"/>
    <s v="$143.80 each"/>
    <n v="1"/>
  </r>
  <r>
    <n v="1"/>
    <x v="3"/>
    <s v="Hare &amp; Forbes Machinery House"/>
    <m/>
    <m/>
    <x v="183"/>
    <n v="34840"/>
    <n v="5"/>
    <n v="3840"/>
    <n v="6200"/>
    <n v="6200"/>
    <n v="28640"/>
    <m/>
    <n v="1"/>
  </r>
  <r>
    <n v="1"/>
    <x v="2"/>
    <s v="TRANS COMMUNICATIONS"/>
    <m/>
    <m/>
    <x v="183"/>
    <n v="10789.8"/>
    <n v="5"/>
    <n v="0"/>
    <n v="2157.96"/>
    <n v="2157.96"/>
    <n v="8631.84"/>
    <m/>
    <n v="1"/>
  </r>
  <r>
    <n v="2000"/>
    <x v="4"/>
    <s v="ITW"/>
    <m/>
    <m/>
    <x v="184"/>
    <n v="63000"/>
    <n v="5"/>
    <n v="3150"/>
    <n v="11970"/>
    <n v="11970"/>
    <n v="51030"/>
    <s v="$31.50 each"/>
    <n v="1"/>
  </r>
  <r>
    <n v="1"/>
    <x v="3"/>
    <s v="Stonegate International"/>
    <m/>
    <m/>
    <x v="185"/>
    <n v="7699"/>
    <n v="10"/>
    <n v="769.9"/>
    <n v="692.91000000000008"/>
    <n v="692.91000000000008"/>
    <n v="7006.09"/>
    <m/>
    <n v="1"/>
  </r>
  <r>
    <n v="1"/>
    <x v="2"/>
    <s v="ABSOLUTE LIFTING &amp; SAFETY"/>
    <m/>
    <m/>
    <x v="186"/>
    <n v="8165"/>
    <n v="5"/>
    <n v="0"/>
    <n v="1633"/>
    <n v="1633"/>
    <n v="6532"/>
    <m/>
    <n v="1"/>
  </r>
  <r>
    <n v="1"/>
    <x v="3"/>
    <s v="TRADE TOOLS PTY LTD"/>
    <m/>
    <m/>
    <x v="187"/>
    <n v="1935.45"/>
    <n v="5"/>
    <n v="0"/>
    <n v="387.09000000000003"/>
    <n v="387.09000000000003"/>
    <n v="1548.3600000000001"/>
    <m/>
    <n v="1"/>
  </r>
  <r>
    <n v="1"/>
    <x v="3"/>
    <s v="TRADE TOOLS PTY LTD"/>
    <m/>
    <m/>
    <x v="187"/>
    <n v="907.27"/>
    <n v="5"/>
    <n v="0"/>
    <n v="181.45400000000001"/>
    <n v="181.45400000000001"/>
    <n v="725.81600000000003"/>
    <m/>
    <n v="1"/>
  </r>
  <r>
    <n v="1"/>
    <x v="2"/>
    <s v="ACTECH"/>
    <m/>
    <m/>
    <x v="187"/>
    <n v="4182.1000000000004"/>
    <n v="3"/>
    <n v="0"/>
    <n v="1394.0333333333335"/>
    <n v="1394.0333333333335"/>
    <n v="2788.0666666666666"/>
    <m/>
    <n v="1"/>
  </r>
  <r>
    <n v="1"/>
    <x v="2"/>
    <s v="ACTECH"/>
    <m/>
    <m/>
    <x v="187"/>
    <n v="4533.8"/>
    <n v="3"/>
    <n v="0"/>
    <n v="1511.2666666666667"/>
    <n v="1511.2666666666667"/>
    <n v="3022.5333333333338"/>
    <m/>
    <n v="1"/>
  </r>
  <r>
    <n v="1"/>
    <x v="3"/>
    <s v="TOTAL TOOLS"/>
    <m/>
    <m/>
    <x v="188"/>
    <n v="1253.3399999999999"/>
    <n v="5"/>
    <n v="0"/>
    <n v="250.66799999999998"/>
    <n v="250.66799999999998"/>
    <n v="1002.6719999999999"/>
    <m/>
    <n v="1"/>
  </r>
  <r>
    <n v="15"/>
    <x v="2"/>
    <s v="PLASTIC SOLUTIONS AUSTRALIA PTY LTD"/>
    <m/>
    <m/>
    <x v="189"/>
    <n v="16632"/>
    <n v="5"/>
    <n v="0"/>
    <n v="3326.4"/>
    <n v="3326.4"/>
    <n v="13305.6"/>
    <s v="$1,108-80 each"/>
    <n v="1"/>
  </r>
  <r>
    <n v="1"/>
    <x v="0"/>
    <s v="Officeworks"/>
    <m/>
    <m/>
    <x v="190"/>
    <n v="1670"/>
    <n v="3"/>
    <n v="0"/>
    <n v="556.66666666666663"/>
    <n v="556.66666666666663"/>
    <n v="1113.3333333333335"/>
    <m/>
    <n v="1"/>
  </r>
  <r>
    <n v="16"/>
    <x v="2"/>
    <s v="TOTAL STEEL OF AUSTRALIA PTY LTD"/>
    <m/>
    <m/>
    <x v="190"/>
    <n v="25426.17"/>
    <n v="5"/>
    <n v="2542.61"/>
    <n v="4576.7119999999995"/>
    <n v="4576.7119999999995"/>
    <n v="20849.457999999999"/>
    <s v="$1,589-13 each"/>
    <n v="1"/>
  </r>
  <r>
    <n v="200"/>
    <x v="2"/>
    <s v="TOTAL STEEL OF AUSTRALIA PTY LTD"/>
    <m/>
    <m/>
    <x v="191"/>
    <n v="29370"/>
    <n v="5"/>
    <n v="2937"/>
    <n v="5286.6"/>
    <n v="5286.6"/>
    <n v="24083.4"/>
    <s v="$146.50 each"/>
    <n v="1"/>
  </r>
  <r>
    <n v="1"/>
    <x v="3"/>
    <s v="Felder Group Australia"/>
    <m/>
    <m/>
    <x v="192"/>
    <n v="52887.11"/>
    <n v="5"/>
    <n v="5288.71"/>
    <n v="9519.68"/>
    <n v="9519.68"/>
    <n v="43367.43"/>
    <m/>
    <n v="1"/>
  </r>
  <r>
    <n v="1"/>
    <x v="0"/>
    <s v="RUBIKS IT"/>
    <m/>
    <m/>
    <x v="193"/>
    <n v="1222"/>
    <n v="3"/>
    <n v="0"/>
    <n v="407.33333333333331"/>
    <n v="407.33333333333331"/>
    <n v="814.66666666666674"/>
    <m/>
    <n v="1"/>
  </r>
  <r>
    <n v="1"/>
    <x v="1"/>
    <s v="DURAPLAS TWEED TANKS"/>
    <m/>
    <m/>
    <x v="193"/>
    <n v="1495"/>
    <n v="10"/>
    <n v="0"/>
    <n v="149.5"/>
    <n v="149.5"/>
    <n v="1345.5"/>
    <m/>
    <n v="1"/>
  </r>
  <r>
    <n v="1"/>
    <x v="1"/>
    <s v="GATEWAY CONTAINER PARK PTY LTD"/>
    <m/>
    <m/>
    <x v="194"/>
    <n v="11472"/>
    <n v="5"/>
    <n v="2294.4"/>
    <n v="1835.52"/>
    <n v="1835.52"/>
    <n v="9636.48"/>
    <m/>
    <n v="1"/>
  </r>
  <r>
    <n v="1"/>
    <x v="1"/>
    <s v="GATEWAY CONTAINER PARK PTY LTD"/>
    <m/>
    <m/>
    <x v="194"/>
    <n v="8040"/>
    <n v="5"/>
    <n v="1608"/>
    <n v="1286.4000000000001"/>
    <n v="1286.4000000000001"/>
    <n v="6753.6"/>
    <m/>
    <n v="1"/>
  </r>
  <r>
    <n v="4"/>
    <x v="2"/>
    <s v="MCMILLAN ENGINEERING GROUP"/>
    <m/>
    <m/>
    <x v="195"/>
    <n v="20217.599999999999"/>
    <n v="10"/>
    <n v="0"/>
    <n v="2021.7599999999998"/>
    <n v="2021.7599999999998"/>
    <n v="18195.84"/>
    <m/>
    <n v="1"/>
  </r>
  <r>
    <n v="1"/>
    <x v="2"/>
    <s v="ABSOLUTE LIFTING &amp; SAFETY"/>
    <m/>
    <m/>
    <x v="196"/>
    <n v="40671"/>
    <n v="5"/>
    <n v="0"/>
    <n v="8134.2"/>
    <n v="8134.2"/>
    <n v="32536.799999999999"/>
    <m/>
    <n v="1"/>
  </r>
  <r>
    <n v="4"/>
    <x v="2"/>
    <s v="ABSOLUTE LIFTING &amp; SAFETY"/>
    <m/>
    <m/>
    <x v="196"/>
    <n v="2660"/>
    <n v="5"/>
    <n v="0"/>
    <n v="532"/>
    <n v="532"/>
    <n v="2128"/>
    <s v="$665 each"/>
    <n v="1"/>
  </r>
  <r>
    <n v="2"/>
    <x v="2"/>
    <s v="ABSOLUTE LIFTING &amp; SAFETY"/>
    <m/>
    <m/>
    <x v="196"/>
    <n v="1170"/>
    <n v="5"/>
    <n v="0"/>
    <n v="234"/>
    <n v="234"/>
    <n v="936"/>
    <s v="$585 each"/>
    <n v="1"/>
  </r>
  <r>
    <n v="1"/>
    <x v="3"/>
    <s v="TRIGONOMICS PTY LTD"/>
    <m/>
    <m/>
    <x v="197"/>
    <n v="57914.3"/>
    <n v="10"/>
    <n v="0"/>
    <n v="5791.43"/>
    <n v="5791.43"/>
    <n v="52122.87"/>
    <m/>
    <n v="1"/>
  </r>
  <r>
    <n v="1"/>
    <x v="3"/>
    <s v="WASP DIESEL PTY LTD"/>
    <m/>
    <m/>
    <x v="197"/>
    <n v="15000"/>
    <n v="10"/>
    <n v="3000"/>
    <n v="1200"/>
    <n v="1200"/>
    <n v="13800"/>
    <m/>
    <n v="1"/>
  </r>
  <r>
    <n v="1"/>
    <x v="3"/>
    <s v="WASP DIESEL PTY LTD"/>
    <m/>
    <m/>
    <x v="197"/>
    <n v="18400"/>
    <n v="10"/>
    <n v="3680"/>
    <n v="1472"/>
    <n v="1472"/>
    <n v="16928"/>
    <m/>
    <n v="1"/>
  </r>
  <r>
    <n v="1"/>
    <x v="3"/>
    <s v="MCMILLAN ENGINEERING GROUP"/>
    <m/>
    <m/>
    <x v="198"/>
    <n v="16200"/>
    <n v="10"/>
    <n v="0"/>
    <n v="1620"/>
    <n v="1620"/>
    <n v="14580"/>
    <m/>
    <n v="1"/>
  </r>
  <r>
    <n v="8"/>
    <x v="2"/>
    <s v="TOTAL STEEL OF AUSTRALIA PTY LTD"/>
    <m/>
    <m/>
    <x v="199"/>
    <n v="12272.72"/>
    <n v="5"/>
    <n v="1227.27"/>
    <n v="2209.0899999999997"/>
    <n v="2209.0899999999997"/>
    <n v="10063.629999999999"/>
    <s v="$1534.09 each"/>
    <n v="1"/>
  </r>
  <r>
    <n v="1"/>
    <x v="2"/>
    <s v="ABSOLUTE LIFTING &amp; SAFETY"/>
    <m/>
    <m/>
    <x v="200"/>
    <n v="1185"/>
    <n v="5"/>
    <n v="0"/>
    <n v="237"/>
    <n v="237"/>
    <n v="948"/>
    <m/>
    <n v="1"/>
  </r>
  <r>
    <n v="1"/>
    <x v="2"/>
    <s v="ACTECH"/>
    <m/>
    <m/>
    <x v="200"/>
    <n v="12770"/>
    <n v="5"/>
    <n v="1277"/>
    <n v="2298.6"/>
    <n v="2298.6"/>
    <n v="10471.4"/>
    <m/>
    <n v="1"/>
  </r>
  <r>
    <n v="12"/>
    <x v="3"/>
    <s v="MCMILLAN ENGINEERING GROUP"/>
    <m/>
    <m/>
    <x v="200"/>
    <n v="60652"/>
    <n v="10"/>
    <n v="0"/>
    <n v="6065.2"/>
    <n v="6065.2"/>
    <n v="54586.8"/>
    <s v="5054.4 each"/>
    <n v="1"/>
  </r>
  <r>
    <n v="3"/>
    <x v="3"/>
    <s v="MCMILLAN ENGINEERING GROUP"/>
    <m/>
    <m/>
    <x v="200"/>
    <n v="5040"/>
    <n v="10"/>
    <n v="0"/>
    <n v="504"/>
    <n v="504"/>
    <n v="4536"/>
    <s v="$1690 each"/>
    <n v="1"/>
  </r>
  <r>
    <n v="1"/>
    <x v="3"/>
    <s v="AUSTRALIAN POWER COMPANY"/>
    <m/>
    <m/>
    <x v="201"/>
    <n v="41800"/>
    <n v="10"/>
    <n v="4180"/>
    <n v="3762"/>
    <n v="3762"/>
    <n v="38038"/>
    <m/>
    <n v="1"/>
  </r>
  <r>
    <n v="1"/>
    <x v="2"/>
    <s v="TOTAL TOOLS"/>
    <m/>
    <m/>
    <x v="202"/>
    <n v="1165.45"/>
    <n v="3"/>
    <n v="0"/>
    <n v="388.48333333333335"/>
    <n v="388.48333333333335"/>
    <n v="776.9666666666667"/>
    <m/>
    <n v="1"/>
  </r>
  <r>
    <n v="4"/>
    <x v="2"/>
    <s v="ABSOLUTE LIFTING &amp; SAFETY"/>
    <m/>
    <m/>
    <x v="202"/>
    <n v="4435.2"/>
    <n v="5"/>
    <n v="0"/>
    <n v="887.04"/>
    <n v="887.04"/>
    <n v="3548.16"/>
    <s v="$1,108-80 each"/>
    <n v="1"/>
  </r>
  <r>
    <n v="1"/>
    <x v="3"/>
    <s v="Roborigger International Pty Ltd"/>
    <m/>
    <m/>
    <x v="203"/>
    <n v="211384"/>
    <n v="5"/>
    <n v="21138.400000000001"/>
    <n v="38049.120000000003"/>
    <n v="38049.120000000003"/>
    <n v="173334.88"/>
    <m/>
    <n v="1"/>
  </r>
  <r>
    <n v="1"/>
    <x v="0"/>
    <s v="RUBIKS IT"/>
    <m/>
    <m/>
    <x v="204"/>
    <n v="1090"/>
    <n v="3"/>
    <n v="0"/>
    <n v="363.33333333333331"/>
    <n v="363.33333333333331"/>
    <n v="726.66666666666674"/>
    <s v="Site office Calendar screen"/>
    <n v="1"/>
  </r>
  <r>
    <n v="2"/>
    <x v="2"/>
    <s v="MCMILLAN ENGINEERING GROUP"/>
    <m/>
    <m/>
    <x v="205"/>
    <n v="30860"/>
    <n v="10"/>
    <n v="0"/>
    <n v="3086"/>
    <n v="3086"/>
    <n v="27774"/>
    <s v="$15,430 each"/>
    <n v="1"/>
  </r>
  <r>
    <n v="1"/>
    <x v="2"/>
    <s v="Hare &amp; Forbes Machinery House"/>
    <m/>
    <m/>
    <x v="206"/>
    <n v="3990"/>
    <n v="5"/>
    <n v="0"/>
    <n v="798"/>
    <n v="798"/>
    <n v="3192"/>
    <m/>
    <n v="1"/>
  </r>
  <r>
    <n v="1"/>
    <x v="3"/>
    <s v="WASP DIESEL PTY LTD"/>
    <m/>
    <m/>
    <x v="207"/>
    <n v="15000"/>
    <n v="10"/>
    <n v="1500"/>
    <n v="1350"/>
    <n v="1350"/>
    <n v="13650"/>
    <m/>
    <n v="1"/>
  </r>
  <r>
    <n v="1"/>
    <x v="2"/>
    <s v="ABSOLUTE LIFTING &amp; SAFETY"/>
    <m/>
    <m/>
    <x v="208"/>
    <n v="9400"/>
    <n v="5"/>
    <n v="0"/>
    <n v="1880"/>
    <n v="1880"/>
    <n v="7520"/>
    <m/>
    <n v="1"/>
  </r>
  <r>
    <n v="1"/>
    <x v="2"/>
    <s v="ABSOLUTE LIFTING &amp; SAFETY"/>
    <m/>
    <m/>
    <x v="208"/>
    <n v="20540"/>
    <n v="5"/>
    <n v="0"/>
    <n v="4108"/>
    <n v="4108"/>
    <n v="16432"/>
    <m/>
    <n v="1"/>
  </r>
  <r>
    <n v="1"/>
    <x v="2"/>
    <s v="ABSOLUTE LIFTING &amp; SAFETY"/>
    <m/>
    <m/>
    <x v="208"/>
    <n v="9265"/>
    <n v="5"/>
    <n v="0"/>
    <n v="1853"/>
    <n v="1853"/>
    <n v="7412"/>
    <m/>
    <n v="1"/>
  </r>
  <r>
    <n v="6"/>
    <x v="2"/>
    <s v="TRANS COMMUNICATIONS"/>
    <m/>
    <s v="S/N: 865EAUN650, 865EAUN655, 865EAUN961, 865EAUP435,865EAUP483, 865EAUP448"/>
    <x v="209"/>
    <n v="8134.8"/>
    <n v="5"/>
    <n v="0"/>
    <n v="1626.96"/>
    <n v="1626.96"/>
    <n v="6507.84"/>
    <s v="1355.80 per unit"/>
    <n v="1"/>
  </r>
  <r>
    <n v="1"/>
    <x v="2"/>
    <s v="CASA"/>
    <m/>
    <m/>
    <x v="210"/>
    <n v="107540"/>
    <n v="5"/>
    <n v="0"/>
    <n v="21508"/>
    <n v="21508"/>
    <n v="86032"/>
    <m/>
    <n v="1"/>
  </r>
  <r>
    <n v="1"/>
    <x v="2"/>
    <s v="CASA"/>
    <m/>
    <m/>
    <x v="210"/>
    <n v="55094"/>
    <n v="5"/>
    <n v="0"/>
    <n v="11018.8"/>
    <n v="11018.8"/>
    <n v="44075.199999999997"/>
    <s v="Precast Instal"/>
    <n v="1"/>
  </r>
  <r>
    <n v="1"/>
    <x v="2"/>
    <s v="ABSOLUTE LIFTING &amp; SAFETY"/>
    <m/>
    <m/>
    <x v="211"/>
    <n v="2430"/>
    <n v="5"/>
    <n v="0"/>
    <n v="486"/>
    <n v="486"/>
    <n v="1944"/>
    <m/>
    <n v="1"/>
  </r>
  <r>
    <n v="1"/>
    <x v="2"/>
    <s v="ABSOLUTE LIFTING &amp; SAFETY"/>
    <m/>
    <m/>
    <x v="211"/>
    <n v="1245"/>
    <n v="5"/>
    <n v="0"/>
    <n v="249"/>
    <n v="249"/>
    <n v="996"/>
    <m/>
    <n v="1"/>
  </r>
  <r>
    <n v="1"/>
    <x v="2"/>
    <s v="ABSOLUTE LIFTING &amp; SAFETY"/>
    <m/>
    <m/>
    <x v="211"/>
    <n v="1355"/>
    <n v="5"/>
    <n v="0"/>
    <n v="271"/>
    <n v="271"/>
    <n v="1084"/>
    <m/>
    <n v="1"/>
  </r>
  <r>
    <n v="1"/>
    <x v="2"/>
    <s v="ABSOLUTE LIFTING &amp; SAFETY"/>
    <m/>
    <m/>
    <x v="211"/>
    <n v="1995"/>
    <n v="5"/>
    <n v="0"/>
    <n v="399"/>
    <n v="399"/>
    <n v="1596"/>
    <m/>
    <n v="1"/>
  </r>
  <r>
    <n v="8"/>
    <x v="2"/>
    <s v="PLASTIC SOLUTIONS AUSTRALIA PTY LTD"/>
    <m/>
    <m/>
    <x v="212"/>
    <n v="4359.2"/>
    <n v="5"/>
    <n v="0"/>
    <n v="871.83999999999992"/>
    <n v="871.83999999999992"/>
    <n v="3487.3599999999997"/>
    <m/>
    <n v="1"/>
  </r>
  <r>
    <n v="2"/>
    <x v="2"/>
    <s v="PLASTIC SOLUTIONS AUSTRALIA PTY LTD"/>
    <m/>
    <m/>
    <x v="212"/>
    <n v="2217.6"/>
    <n v="5"/>
    <n v="0"/>
    <n v="443.52"/>
    <n v="443.52"/>
    <n v="1774.08"/>
    <m/>
    <n v="1"/>
  </r>
  <r>
    <n v="1"/>
    <x v="2"/>
    <s v="PLASTIC SOLUTIONS AUSTRALIA PTY LTD"/>
    <m/>
    <m/>
    <x v="212"/>
    <n v="1050"/>
    <n v="5"/>
    <n v="0"/>
    <n v="210"/>
    <n v="210"/>
    <n v="840"/>
    <m/>
    <n v="1"/>
  </r>
  <r>
    <n v="1"/>
    <x v="2"/>
    <s v="Premier Concrete Equipment"/>
    <m/>
    <s v="J051024"/>
    <x v="213"/>
    <n v="2500"/>
    <n v="5"/>
    <n v="0"/>
    <n v="500"/>
    <n v="500"/>
    <n v="2000"/>
    <m/>
    <n v="1"/>
  </r>
  <r>
    <n v="1"/>
    <x v="2"/>
    <s v="Premier Concrete Equipment"/>
    <m/>
    <s v="J051030"/>
    <x v="213"/>
    <n v="2500"/>
    <n v="5"/>
    <n v="0"/>
    <n v="500"/>
    <n v="500"/>
    <n v="2000"/>
    <m/>
    <n v="1"/>
  </r>
  <r>
    <n v="4"/>
    <x v="2"/>
    <s v="TRANS COMMUNICATIONS"/>
    <m/>
    <s v="S/N: 865EAUN914, 865EAUP334, 865EAUP341, 865EAUP473"/>
    <x v="214"/>
    <n v="5423.2"/>
    <n v="5"/>
    <n v="0"/>
    <n v="1084.6399999999999"/>
    <n v="1084.6399999999999"/>
    <n v="4338.5599999999995"/>
    <s v="1355.80 per unit"/>
    <n v="1"/>
  </r>
  <r>
    <n v="1"/>
    <x v="2"/>
    <s v="TRADE TOOLS PTY LTD"/>
    <m/>
    <m/>
    <x v="215"/>
    <n v="1149"/>
    <n v="5"/>
    <n v="0"/>
    <n v="229.8"/>
    <n v="229.8"/>
    <n v="919.2"/>
    <m/>
    <n v="1"/>
  </r>
  <r>
    <n v="1"/>
    <x v="0"/>
    <s v="RUBIKS IT"/>
    <m/>
    <m/>
    <x v="216"/>
    <n v="2740.91"/>
    <n v="3"/>
    <n v="0"/>
    <n v="913.63666666666666"/>
    <n v="913.63666666666666"/>
    <n v="1827.2733333333331"/>
    <s v="Ronald Tayag"/>
    <n v="1"/>
  </r>
  <r>
    <n v="2"/>
    <x v="0"/>
    <s v="RUBIKS IT"/>
    <m/>
    <m/>
    <x v="216"/>
    <n v="2649.09"/>
    <n v="3"/>
    <n v="0"/>
    <n v="883.03000000000009"/>
    <n v="883.03000000000009"/>
    <n v="1766.06"/>
    <s v="Phill Mackrell &amp; Jarrod Biggs"/>
    <n v="1"/>
  </r>
  <r>
    <n v="1"/>
    <x v="2"/>
    <s v="ABSOLUTE LIFTING &amp; SAFETY"/>
    <m/>
    <m/>
    <x v="217"/>
    <n v="22985"/>
    <n v="5"/>
    <n v="0"/>
    <n v="4597"/>
    <n v="4597"/>
    <n v="18388"/>
    <m/>
    <n v="1"/>
  </r>
  <r>
    <n v="1"/>
    <x v="3"/>
    <s v="TRIGONOMICS PTY LTD"/>
    <m/>
    <m/>
    <x v="217"/>
    <n v="45089.73"/>
    <n v="10"/>
    <n v="0"/>
    <n v="4508.973"/>
    <n v="4508.973"/>
    <n v="40580.757000000005"/>
    <m/>
    <n v="1"/>
  </r>
  <r>
    <n v="30"/>
    <x v="2"/>
    <s v="ACTECH"/>
    <m/>
    <m/>
    <x v="218"/>
    <n v="27830.7"/>
    <n v="4"/>
    <n v="2783.07"/>
    <n v="6261.9075000000003"/>
    <n v="6261.9075000000003"/>
    <n v="21568.7925"/>
    <s v="$927.69 each"/>
    <n v="1"/>
  </r>
  <r>
    <n v="15"/>
    <x v="2"/>
    <s v="ACTECH"/>
    <m/>
    <m/>
    <x v="218"/>
    <n v="15950.55"/>
    <n v="4"/>
    <n v="1590.05"/>
    <n v="3590.125"/>
    <n v="3590.125"/>
    <n v="12360.424999999999"/>
    <s v="$1,063.37 each"/>
    <n v="1"/>
  </r>
  <r>
    <n v="10"/>
    <x v="2"/>
    <s v="ACTECH"/>
    <m/>
    <m/>
    <x v="218"/>
    <n v="15398.6"/>
    <n v="4"/>
    <n v="1539.86"/>
    <n v="3464.6849999999999"/>
    <n v="3464.6849999999999"/>
    <n v="11933.915000000001"/>
    <s v="$1539.86 each"/>
    <n v="1"/>
  </r>
  <r>
    <n v="200"/>
    <x v="2"/>
    <s v="ACTECH"/>
    <m/>
    <m/>
    <x v="218"/>
    <n v="93000"/>
    <n v="7"/>
    <n v="9300"/>
    <n v="11957.142857142857"/>
    <n v="11957.142857142857"/>
    <n v="81042.857142857145"/>
    <s v="$465 each"/>
    <n v="1"/>
  </r>
  <r>
    <n v="1"/>
    <x v="3"/>
    <s v="Fork Force Group"/>
    <m/>
    <m/>
    <x v="219"/>
    <n v="25990"/>
    <n v="10"/>
    <n v="2599"/>
    <n v="2339.1"/>
    <n v="2339.1"/>
    <n v="23650.9"/>
    <m/>
    <n v="1"/>
  </r>
  <r>
    <n v="20"/>
    <x v="2"/>
    <s v="ACTECH"/>
    <m/>
    <m/>
    <x v="220"/>
    <n v="14263.8"/>
    <n v="4"/>
    <n v="1426.38"/>
    <n v="3209.3549999999996"/>
    <n v="3209.3549999999996"/>
    <n v="11054.445"/>
    <s v="$713.19 each"/>
    <n v="1"/>
  </r>
  <r>
    <n v="1"/>
    <x v="2"/>
    <s v="TOTAL TOOLS"/>
    <m/>
    <m/>
    <x v="221"/>
    <n v="781.82"/>
    <n v="3"/>
    <n v="0"/>
    <n v="260.60666666666668"/>
    <n v="260.60666666666668"/>
    <n v="521.21333333333337"/>
    <m/>
    <n v="1"/>
  </r>
  <r>
    <n v="1"/>
    <x v="2"/>
    <s v="TOTAL TOOLS"/>
    <m/>
    <m/>
    <x v="222"/>
    <n v="1908.18"/>
    <n v="3"/>
    <n v="0"/>
    <n v="636.06000000000006"/>
    <n v="636.06000000000006"/>
    <n v="1272.1199999999999"/>
    <m/>
    <n v="1"/>
  </r>
  <r>
    <n v="1"/>
    <x v="3"/>
    <s v="MCMILLAN ENGINEERING GROUP"/>
    <m/>
    <m/>
    <x v="222"/>
    <n v="4429"/>
    <n v="5"/>
    <n v="0"/>
    <n v="885.8"/>
    <n v="885.8"/>
    <n v="3543.2"/>
    <m/>
    <n v="1"/>
  </r>
  <r>
    <n v="1"/>
    <x v="6"/>
    <s v="Officeworks"/>
    <m/>
    <s v="LE83DC003J"/>
    <x v="223"/>
    <n v="1297"/>
    <n v="3"/>
    <n v="0"/>
    <n v="432.33333333333331"/>
    <n v="432.33333333333331"/>
    <n v="864.66666666666674"/>
    <m/>
    <n v="1"/>
  </r>
  <r>
    <n v="2"/>
    <x v="2"/>
    <s v="ATOM"/>
    <m/>
    <m/>
    <x v="224"/>
    <n v="5399.38"/>
    <n v="5"/>
    <n v="0"/>
    <n v="1079.876"/>
    <n v="1079.876"/>
    <n v="4319.5039999999999"/>
    <s v="$2699.69 each"/>
    <n v="1"/>
  </r>
  <r>
    <n v="1"/>
    <x v="2"/>
    <s v="REECE"/>
    <m/>
    <m/>
    <x v="224"/>
    <n v="8810.94"/>
    <n v="5"/>
    <n v="0"/>
    <n v="1762.1880000000001"/>
    <n v="1762.1880000000001"/>
    <n v="7048.7520000000004"/>
    <m/>
    <n v="1"/>
  </r>
  <r>
    <n v="2"/>
    <x v="2"/>
    <s v="ABSOLUTE LIFTING &amp; SAFETY"/>
    <m/>
    <m/>
    <x v="225"/>
    <n v="2124"/>
    <n v="5"/>
    <n v="0"/>
    <n v="424.8"/>
    <n v="424.8"/>
    <n v="1699.2"/>
    <s v="$1062 each"/>
    <n v="1"/>
  </r>
  <r>
    <m/>
    <x v="2"/>
    <s v="TOTAL STEEL OF AUSTRALIA PTY LTD"/>
    <m/>
    <m/>
    <x v="226"/>
    <n v="7067.4"/>
    <n v="10"/>
    <n v="706.74"/>
    <n v="636.06600000000003"/>
    <n v="636.06600000000003"/>
    <n v="6431.3339999999998"/>
    <s v="for crane  bog mat- excluding fabrication $30K  per tonne"/>
    <n v="1"/>
  </r>
  <r>
    <n v="1"/>
    <x v="2"/>
    <s v="ABSOLUTE LIFTING &amp; SAFETY"/>
    <m/>
    <m/>
    <x v="226"/>
    <n v="5395"/>
    <n v="5"/>
    <n v="0"/>
    <n v="1079"/>
    <n v="1079"/>
    <n v="4316"/>
    <m/>
    <n v="1"/>
  </r>
  <r>
    <n v="4"/>
    <x v="2"/>
    <s v="TOTAL STEEL OF AUSTRALIA PTY LTD"/>
    <m/>
    <m/>
    <x v="226"/>
    <n v="2624"/>
    <n v="5"/>
    <n v="262.39999999999998"/>
    <n v="472.32"/>
    <n v="472.32"/>
    <n v="2151.6799999999998"/>
    <s v="$656 Each"/>
    <n v="1"/>
  </r>
  <r>
    <n v="4"/>
    <x v="2"/>
    <s v="TOTAL STEEL OF AUSTRALIA PTY LTD"/>
    <m/>
    <m/>
    <x v="226"/>
    <n v="2362.16"/>
    <n v="5"/>
    <n v="236.21"/>
    <n v="425.18999999999994"/>
    <n v="425.18999999999994"/>
    <n v="1936.9699999999998"/>
    <s v="$590.54 Each"/>
    <n v="1"/>
  </r>
  <r>
    <n v="1"/>
    <x v="3"/>
    <s v="AAA Trailers Pty Ltd"/>
    <m/>
    <s v="LA9932R0CMW068"/>
    <x v="227"/>
    <n v="70000"/>
    <n v="10"/>
    <n v="7000"/>
    <n v="6300"/>
    <n v="6300"/>
    <n v="63700"/>
    <m/>
    <n v="1"/>
  </r>
  <r>
    <n v="1"/>
    <x v="3"/>
    <s v="AAA Trailers Pty Ltd"/>
    <m/>
    <s v="LA993VGP8P0CMW475"/>
    <x v="227"/>
    <n v="85000"/>
    <n v="10"/>
    <n v="8500"/>
    <n v="7650"/>
    <n v="7650"/>
    <n v="77350"/>
    <m/>
    <n v="1"/>
  </r>
  <r>
    <n v="1"/>
    <x v="2"/>
    <s v="ABSOLUTE LIFTING &amp; SAFETY"/>
    <m/>
    <m/>
    <x v="228"/>
    <n v="4703"/>
    <n v="5"/>
    <n v="0"/>
    <n v="940.6"/>
    <n v="940.6"/>
    <n v="3762.4"/>
    <m/>
    <n v="1"/>
  </r>
  <r>
    <n v="2"/>
    <x v="0"/>
    <s v="RUBIKS IT"/>
    <m/>
    <m/>
    <x v="229"/>
    <n v="2725.45"/>
    <n v="3"/>
    <n v="0"/>
    <n v="908.48333333333323"/>
    <n v="908.48333333333323"/>
    <n v="1816.9666666666667"/>
    <m/>
    <n v="1"/>
  </r>
  <r>
    <n v="1"/>
    <x v="7"/>
    <s v="Officeworks"/>
    <m/>
    <m/>
    <x v="230"/>
    <n v="1887"/>
    <n v="3"/>
    <n v="0"/>
    <n v="629"/>
    <n v="629"/>
    <n v="1258"/>
    <s v="??"/>
    <n v="1"/>
  </r>
  <r>
    <n v="2"/>
    <x v="2"/>
    <s v="ATOM"/>
    <m/>
    <m/>
    <x v="231"/>
    <n v="1673.38"/>
    <n v="3"/>
    <n v="0"/>
    <n v="557.79333333333341"/>
    <n v="557.79333333333341"/>
    <n v="1115.5866666666666"/>
    <s v="$836.69 Each"/>
    <n v="1"/>
  </r>
  <r>
    <n v="1"/>
    <x v="2"/>
    <s v="APPLEAIR"/>
    <m/>
    <m/>
    <x v="232"/>
    <n v="5466"/>
    <n v="3"/>
    <n v="0"/>
    <n v="1822"/>
    <n v="1822"/>
    <n v="3644"/>
    <m/>
    <n v="1"/>
  </r>
  <r>
    <n v="4"/>
    <x v="5"/>
    <s v="TRANSBLAST"/>
    <m/>
    <m/>
    <x v="233"/>
    <n v="3990"/>
    <n v="3"/>
    <n v="0"/>
    <n v="1330"/>
    <n v="1330"/>
    <n v="2660"/>
    <s v="997.50 Each"/>
    <n v="1"/>
  </r>
  <r>
    <n v="1"/>
    <x v="0"/>
    <s v="Officeworks"/>
    <m/>
    <m/>
    <x v="234"/>
    <n v="1047"/>
    <n v="3"/>
    <n v="0"/>
    <n v="349"/>
    <n v="349"/>
    <n v="698"/>
    <m/>
    <n v="1"/>
  </r>
  <r>
    <n v="120"/>
    <x v="5"/>
    <s v="DOKA"/>
    <m/>
    <m/>
    <x v="234"/>
    <n v="12480"/>
    <n v="5"/>
    <n v="1248"/>
    <n v="2246.4"/>
    <n v="2246.4"/>
    <n v="15834.800000000001"/>
    <s v="$104 Each"/>
    <n v="1"/>
  </r>
  <r>
    <n v="2"/>
    <x v="4"/>
    <s v="CHEPS METAL WORX"/>
    <m/>
    <m/>
    <x v="234"/>
    <n v="280"/>
    <n v="10"/>
    <n v="28"/>
    <n v="25.2"/>
    <n v="25.2"/>
    <n v="254.8"/>
    <s v="$140 Per unit"/>
    <n v="1"/>
  </r>
  <r>
    <n v="2"/>
    <x v="2"/>
    <s v="ABSOLUTE LIFTING &amp; SAFETY"/>
    <m/>
    <m/>
    <x v="234"/>
    <n v="3790"/>
    <n v="5"/>
    <n v="0"/>
    <n v="758"/>
    <n v="758"/>
    <n v="3032"/>
    <s v="$1895 each"/>
    <n v="1"/>
  </r>
  <r>
    <n v="4"/>
    <x v="2"/>
    <s v="ABSOLUTE LIFTING &amp; SAFETY"/>
    <m/>
    <m/>
    <x v="234"/>
    <n v="1700"/>
    <n v="5"/>
    <n v="0"/>
    <n v="340"/>
    <n v="340"/>
    <n v="1360"/>
    <s v="$425 each"/>
    <n v="1"/>
  </r>
  <r>
    <n v="6"/>
    <x v="5"/>
    <s v="VULCAN"/>
    <m/>
    <m/>
    <x v="235"/>
    <n v="2295.02"/>
    <n v="10"/>
    <n v="229.5"/>
    <n v="206.55199999999999"/>
    <n v="206.55199999999999"/>
    <n v="2088.4679999999998"/>
    <m/>
    <n v="1"/>
  </r>
  <r>
    <m/>
    <x v="5"/>
    <s v="VULCAN"/>
    <m/>
    <m/>
    <x v="236"/>
    <n v="3286.13"/>
    <n v="10"/>
    <n v="328.61"/>
    <n v="295.75200000000001"/>
    <n v="295.75200000000001"/>
    <n v="2990.3780000000002"/>
    <m/>
    <n v="1"/>
  </r>
  <r>
    <n v="306"/>
    <x v="4"/>
    <s v="ACTECH"/>
    <m/>
    <m/>
    <x v="237"/>
    <n v="8874"/>
    <n v="10"/>
    <n v="0"/>
    <n v="887.4"/>
    <n v="887.4"/>
    <n v="7986.6"/>
    <s v="$29 each"/>
    <n v="1"/>
  </r>
  <r>
    <n v="1"/>
    <x v="0"/>
    <s v="RUBIKS IT"/>
    <m/>
    <m/>
    <x v="238"/>
    <n v="2390"/>
    <n v="3"/>
    <n v="0"/>
    <n v="796.66666666666663"/>
    <n v="796.66666666666663"/>
    <n v="1593.3333333333335"/>
    <s v="Jacky"/>
    <n v="1"/>
  </r>
  <r>
    <n v="1"/>
    <x v="7"/>
    <s v="Officeworks"/>
    <m/>
    <m/>
    <x v="239"/>
    <n v="1597"/>
    <n v="3"/>
    <n v="0"/>
    <n v="532.33333333333337"/>
    <n v="532.33333333333337"/>
    <n v="1064.6666666666665"/>
    <m/>
    <n v="1"/>
  </r>
  <r>
    <n v="1"/>
    <x v="0"/>
    <s v="RUBIKS IT"/>
    <m/>
    <m/>
    <x v="239"/>
    <n v="1499.09"/>
    <n v="3"/>
    <n v="0"/>
    <n v="499.69666666666666"/>
    <n v="499.69666666666666"/>
    <n v="999.3933333333332"/>
    <s v="Keyen replacement laptop"/>
    <n v="1"/>
  </r>
  <r>
    <n v="1"/>
    <x v="7"/>
    <s v="Officeworks"/>
    <m/>
    <m/>
    <x v="240"/>
    <n v="1167"/>
    <n v="3"/>
    <n v="0"/>
    <n v="389"/>
    <n v="389"/>
    <n v="778"/>
    <s v="Keyen"/>
    <n v="1"/>
  </r>
  <r>
    <n v="1"/>
    <x v="3"/>
    <s v="MCMILLAN ENGINEERING GROUP"/>
    <m/>
    <m/>
    <x v="241"/>
    <n v="4650"/>
    <n v="5"/>
    <n v="0"/>
    <n v="930"/>
    <n v="930"/>
    <n v="3720"/>
    <m/>
    <n v="1"/>
  </r>
  <r>
    <n v="1"/>
    <x v="2"/>
    <s v="WASP DIESEL PTY LTD"/>
    <m/>
    <m/>
    <x v="242"/>
    <n v="8200"/>
    <n v="10"/>
    <n v="1500"/>
    <n v="670"/>
    <n v="670"/>
    <n v="7530"/>
    <m/>
    <n v="1"/>
  </r>
  <r>
    <n v="1"/>
    <x v="2"/>
    <s v="Premier Concrete Equipment"/>
    <m/>
    <s v="61172-1208786"/>
    <x v="243"/>
    <n v="2500"/>
    <n v="5"/>
    <n v="0"/>
    <n v="500"/>
    <n v="500"/>
    <n v="2000"/>
    <m/>
    <n v="1"/>
  </r>
  <r>
    <n v="1"/>
    <x v="0"/>
    <s v="Officeworks"/>
    <m/>
    <m/>
    <x v="244"/>
    <n v="1087"/>
    <n v="4"/>
    <n v="0"/>
    <n v="271.75"/>
    <n v="271.75"/>
    <n v="815.25"/>
    <s v="Patchers"/>
    <n v="1"/>
  </r>
  <r>
    <n v="1"/>
    <x v="0"/>
    <s v="Officeworks"/>
    <m/>
    <m/>
    <x v="244"/>
    <n v="1087"/>
    <n v="4"/>
    <n v="0"/>
    <n v="271.75"/>
    <n v="271.75"/>
    <n v="815.25"/>
    <s v="Patchers"/>
    <n v="1"/>
  </r>
  <r>
    <n v="2"/>
    <x v="0"/>
    <s v="RUBIKS IT"/>
    <m/>
    <m/>
    <x v="245"/>
    <n v="634.54"/>
    <n v="3"/>
    <n v="0"/>
    <n v="211.51333333333332"/>
    <n v="211.51333333333332"/>
    <n v="423.02666666666664"/>
    <s v="$317.27 each Pending Jason's allocation"/>
    <n v="1"/>
  </r>
  <r>
    <n v="1"/>
    <x v="0"/>
    <s v="RUBIKS IT"/>
    <m/>
    <m/>
    <x v="245"/>
    <n v="294.54000000000002"/>
    <n v="3"/>
    <n v="0"/>
    <n v="98.18"/>
    <n v="98.18"/>
    <n v="196.36"/>
    <s v="Pending Jason's allocation"/>
    <n v="1"/>
  </r>
  <r>
    <n v="1"/>
    <x v="2"/>
    <s v="ABSOLUTE LIFTING &amp; SAFETY"/>
    <m/>
    <m/>
    <x v="245"/>
    <n v="20540"/>
    <n v="5"/>
    <n v="0"/>
    <n v="4108"/>
    <n v="4108"/>
    <n v="16432"/>
    <m/>
    <n v="1"/>
  </r>
  <r>
    <n v="2"/>
    <x v="2"/>
    <s v="Premier Concrete Equipment"/>
    <m/>
    <m/>
    <x v="246"/>
    <n v="5171"/>
    <n v="5"/>
    <n v="0"/>
    <n v="1034.2"/>
    <n v="1034.2"/>
    <n v="4136.8"/>
    <m/>
    <n v="1"/>
  </r>
  <r>
    <n v="1"/>
    <x v="2"/>
    <s v="Premier Concrete Equipment"/>
    <m/>
    <s v="`"/>
    <x v="246"/>
    <n v="2898"/>
    <n v="5"/>
    <n v="0"/>
    <n v="579.6"/>
    <n v="579.6"/>
    <n v="2318.4"/>
    <m/>
    <n v="1"/>
  </r>
  <r>
    <n v="8"/>
    <x v="2"/>
    <s v="PLASTIC SOLUTIONS AUSTRALIA PTY LTD"/>
    <m/>
    <m/>
    <x v="247"/>
    <n v="4640"/>
    <n v="5"/>
    <n v="0"/>
    <n v="928"/>
    <n v="928"/>
    <n v="3712"/>
    <s v="$580 each"/>
    <n v="1"/>
  </r>
  <r>
    <n v="1"/>
    <x v="3"/>
    <s v="AAA Trailers Pty Ltd"/>
    <m/>
    <m/>
    <x v="247"/>
    <n v="73000"/>
    <n v="10"/>
    <n v="7300"/>
    <n v="6570"/>
    <n v="6570"/>
    <n v="66430"/>
    <m/>
    <n v="1"/>
  </r>
  <r>
    <n v="1"/>
    <x v="2"/>
    <s v="TOTAL TOOLS"/>
    <m/>
    <m/>
    <x v="248"/>
    <n v="2347.9499999999998"/>
    <n v="5"/>
    <n v="0"/>
    <n v="469.59"/>
    <n v="469.59"/>
    <n v="1878.36"/>
    <m/>
    <n v="1"/>
  </r>
  <r>
    <n v="3"/>
    <x v="2"/>
    <s v="ABSOLUTE LIFTING &amp; SAFETY"/>
    <m/>
    <m/>
    <x v="249"/>
    <n v="9534"/>
    <n v="5"/>
    <n v="0"/>
    <n v="1906.8"/>
    <n v="1906.8"/>
    <n v="7627.2"/>
    <s v="$3,178 each"/>
    <n v="1"/>
  </r>
  <r>
    <n v="1"/>
    <x v="2"/>
    <s v="WASP DIESEL PTY LTD"/>
    <m/>
    <m/>
    <x v="250"/>
    <n v="15000"/>
    <n v="10"/>
    <n v="1500"/>
    <n v="1350"/>
    <n v="1350"/>
    <n v="13650"/>
    <m/>
    <n v="1"/>
  </r>
  <r>
    <n v="1"/>
    <x v="0"/>
    <s v="RUBIKS IT"/>
    <m/>
    <m/>
    <x v="250"/>
    <n v="2740.91"/>
    <n v="3"/>
    <n v="0"/>
    <n v="913.63666666666666"/>
    <n v="913.63666666666666"/>
    <n v="1827.2733333333331"/>
    <s v="drafting"/>
    <n v="1"/>
  </r>
  <r>
    <n v="1"/>
    <x v="0"/>
    <s v="RUBIKS IT"/>
    <m/>
    <m/>
    <x v="250"/>
    <n v="2740.91"/>
    <n v="3"/>
    <n v="0"/>
    <n v="913.63666666666666"/>
    <n v="913.63666666666666"/>
    <n v="1827.2733333333331"/>
    <s v="drafting"/>
    <n v="1"/>
  </r>
  <r>
    <n v="1"/>
    <x v="3"/>
    <s v="AAA Trailers Pty Ltd"/>
    <m/>
    <m/>
    <x v="251"/>
    <n v="73000"/>
    <n v="10"/>
    <n v="7300"/>
    <n v="6570"/>
    <n v="6570"/>
    <n v="66430"/>
    <m/>
    <n v="1"/>
  </r>
  <r>
    <n v="1"/>
    <x v="3"/>
    <s v="AAA Trailers Pty Ltd"/>
    <m/>
    <s v="LA994VGP5N0CMW993"/>
    <x v="252"/>
    <n v="159000"/>
    <n v="10"/>
    <n v="15900"/>
    <n v="14310"/>
    <n v="14310"/>
    <n v="144690"/>
    <m/>
    <n v="1"/>
  </r>
  <r>
    <n v="1"/>
    <x v="2"/>
    <s v="ABSOLUTE LIFTING &amp; SAFETY"/>
    <m/>
    <m/>
    <x v="253"/>
    <n v="1015"/>
    <n v="5"/>
    <n v="0"/>
    <n v="203"/>
    <n v="203"/>
    <n v="812"/>
    <m/>
    <n v="1"/>
  </r>
  <r>
    <n v="1"/>
    <x v="2"/>
    <s v="ABSOLUTE LIFTING &amp; SAFETY"/>
    <m/>
    <m/>
    <x v="253"/>
    <n v="4159.5600000000004"/>
    <n v="5"/>
    <n v="0"/>
    <n v="831.91200000000003"/>
    <n v="831.91200000000003"/>
    <n v="3327.6480000000001"/>
    <m/>
    <n v="1"/>
  </r>
  <r>
    <n v="1"/>
    <x v="3"/>
    <s v="Macharlin Pty Ltd (Catering Equipment Trade Centre)"/>
    <m/>
    <m/>
    <x v="254"/>
    <n v="14710"/>
    <n v="5"/>
    <n v="0"/>
    <n v="2942"/>
    <n v="2942"/>
    <n v="11768"/>
    <m/>
    <n v="1"/>
  </r>
  <r>
    <n v="2"/>
    <x v="2"/>
    <s v="ATOM"/>
    <m/>
    <m/>
    <x v="255"/>
    <n v="3677.4"/>
    <n v="10"/>
    <n v="0"/>
    <n v="367.74"/>
    <n v="367.74"/>
    <n v="3309.66"/>
    <s v="$1,838-70 each"/>
    <n v="1"/>
  </r>
  <r>
    <n v="1"/>
    <x v="2"/>
    <s v="TRADE TOOLS PTY LTD"/>
    <m/>
    <m/>
    <x v="256"/>
    <n v="1992.15"/>
    <n v="5"/>
    <n v="0"/>
    <n v="398.43"/>
    <n v="398.43"/>
    <n v="1593.72"/>
    <m/>
    <n v="1"/>
  </r>
  <r>
    <n v="1"/>
    <x v="2"/>
    <s v=" "/>
    <m/>
    <m/>
    <x v="257"/>
    <n v="1206.3599999999999"/>
    <n v="3"/>
    <n v="0"/>
    <n v="402.11999999999995"/>
    <n v="402.11999999999995"/>
    <n v="804.24"/>
    <m/>
    <n v="1"/>
  </r>
  <r>
    <n v="1"/>
    <x v="2"/>
    <s v="TOTAL TOOLS"/>
    <m/>
    <m/>
    <x v="257"/>
    <n v="1340.91"/>
    <n v="5"/>
    <n v="0"/>
    <n v="268.18200000000002"/>
    <n v="268.18200000000002"/>
    <n v="1072.7280000000001"/>
    <m/>
    <n v="1"/>
  </r>
  <r>
    <n v="1"/>
    <x v="2"/>
    <s v="State of the Arc"/>
    <m/>
    <s v="DC30624210033"/>
    <x v="258"/>
    <n v="2800"/>
    <n v="5"/>
    <n v="0"/>
    <n v="560"/>
    <n v="560"/>
    <n v="2240"/>
    <m/>
    <n v="1"/>
  </r>
  <r>
    <n v="1"/>
    <x v="0"/>
    <s v="Lenovo"/>
    <m/>
    <s v="21NXCTO1WWAU2"/>
    <x v="259"/>
    <n v="3700"/>
    <n v="3"/>
    <n v="0"/>
    <n v="1233.3333333333333"/>
    <n v="1233.3333333333333"/>
    <n v="2466.666666666667"/>
    <m/>
    <n v="1"/>
  </r>
  <r>
    <n v="1"/>
    <x v="3"/>
    <s v="AAA Trailers Pty Ltd"/>
    <m/>
    <m/>
    <x v="260"/>
    <n v="70000"/>
    <n v="10"/>
    <n v="7000"/>
    <n v="6300"/>
    <n v="6300"/>
    <n v="63700"/>
    <m/>
    <n v="1"/>
  </r>
  <r>
    <n v="1"/>
    <x v="2"/>
    <s v="Sydney Tools"/>
    <m/>
    <s v="9345549000427"/>
    <x v="261"/>
    <n v="1768.18"/>
    <n v="3"/>
    <n v="0"/>
    <n v="589.39333333333332"/>
    <n v="589.39333333333332"/>
    <n v="1178.7866666666669"/>
    <s v="LTES Vic"/>
    <n v="1"/>
  </r>
  <r>
    <n v="1"/>
    <x v="2"/>
    <s v="Premier Concrete Equipment"/>
    <m/>
    <m/>
    <x v="262"/>
    <n v="2470"/>
    <n v="5"/>
    <n v="0"/>
    <n v="494"/>
    <n v="494"/>
    <n v="1976"/>
    <m/>
    <n v="1"/>
  </r>
  <r>
    <n v="1"/>
    <x v="2"/>
    <s v="Premier Concrete Equipment"/>
    <m/>
    <m/>
    <x v="262"/>
    <n v="2470"/>
    <n v="5"/>
    <n v="0"/>
    <n v="494"/>
    <n v="494"/>
    <n v="1976"/>
    <m/>
    <n v="1"/>
  </r>
  <r>
    <n v="1"/>
    <x v="2"/>
    <s v="Premier Concrete Equipment"/>
    <m/>
    <m/>
    <x v="262"/>
    <n v="2470"/>
    <n v="5"/>
    <n v="0"/>
    <n v="494"/>
    <n v="494"/>
    <n v="1976"/>
    <m/>
    <n v="1"/>
  </r>
  <r>
    <n v="1"/>
    <x v="2"/>
    <s v="Premier Concrete Equipment"/>
    <m/>
    <m/>
    <x v="262"/>
    <n v="2089.1"/>
    <n v="5"/>
    <n v="0"/>
    <n v="417.82"/>
    <n v="417.82"/>
    <n v="1671.28"/>
    <m/>
    <n v="1"/>
  </r>
  <r>
    <n v="1"/>
    <x v="2"/>
    <s v="Premier Concrete Equipment"/>
    <m/>
    <m/>
    <x v="262"/>
    <n v="2089.1"/>
    <n v="5"/>
    <n v="0"/>
    <n v="417.82"/>
    <n v="417.82"/>
    <n v="1671.28"/>
    <m/>
    <n v="1"/>
  </r>
  <r>
    <n v="1"/>
    <x v="2"/>
    <s v="Premier Concrete Equipment"/>
    <m/>
    <m/>
    <x v="262"/>
    <n v="2089.1"/>
    <n v="5"/>
    <n v="0"/>
    <n v="417.82"/>
    <n v="417.82"/>
    <n v="1671.28"/>
    <m/>
    <n v="1"/>
  </r>
  <r>
    <n v="2"/>
    <x v="0"/>
    <s v="RUBIKS IT"/>
    <m/>
    <m/>
    <x v="263"/>
    <n v="2467.4"/>
    <n v="3"/>
    <n v="0"/>
    <n v="822.4666666666667"/>
    <n v="822.4666666666667"/>
    <n v="1644.9333333333334"/>
    <m/>
    <n v="1"/>
  </r>
  <r>
    <n v="1"/>
    <x v="2"/>
    <s v="Sydney Tools Pty Ltd"/>
    <m/>
    <m/>
    <x v="264"/>
    <n v="543"/>
    <n v="5"/>
    <n v="0"/>
    <n v="108.6"/>
    <n v="108.6"/>
    <n v="434.4"/>
    <m/>
    <n v="1"/>
  </r>
  <r>
    <n v="1"/>
    <x v="0"/>
    <s v="Harvey Norman"/>
    <m/>
    <n v="892514348"/>
    <x v="265"/>
    <n v="1217"/>
    <n v="3"/>
    <n v="0"/>
    <n v="405.66666666666669"/>
    <n v="405.66666666666669"/>
    <n v="811.33333333333326"/>
    <m/>
    <n v="1"/>
  </r>
  <r>
    <n v="1"/>
    <x v="2"/>
    <s v="Capital Machinery Sales"/>
    <m/>
    <m/>
    <x v="266"/>
    <n v="18750"/>
    <n v="5"/>
    <n v="0"/>
    <n v="3750"/>
    <n v="3750"/>
    <n v="15000"/>
    <m/>
    <n v="1"/>
  </r>
  <r>
    <n v="1"/>
    <x v="0"/>
    <s v="RUBIKS IT"/>
    <m/>
    <m/>
    <x v="267"/>
    <n v="1233.7"/>
    <n v="3"/>
    <n v="0"/>
    <n v="411.23333333333335"/>
    <n v="411.23333333333335"/>
    <n v="822.4666666666667"/>
    <m/>
    <n v="1"/>
  </r>
  <r>
    <n v="2"/>
    <x v="2"/>
    <s v="CASA"/>
    <m/>
    <m/>
    <x v="267"/>
    <n v="24000"/>
    <n v="5"/>
    <n v="0"/>
    <n v="4800"/>
    <n v="4800"/>
    <n v="19200"/>
    <m/>
    <n v="1"/>
  </r>
  <r>
    <n v="1"/>
    <x v="2"/>
    <s v="CASA"/>
    <m/>
    <m/>
    <x v="267"/>
    <n v="18000"/>
    <n v="5"/>
    <n v="0"/>
    <n v="3600"/>
    <n v="3600"/>
    <n v="14400"/>
    <m/>
    <n v="1"/>
  </r>
  <r>
    <n v="2"/>
    <x v="2"/>
    <s v="CASA"/>
    <m/>
    <m/>
    <x v="267"/>
    <n v="20000"/>
    <n v="5"/>
    <n v="0"/>
    <n v="4000"/>
    <n v="4000"/>
    <n v="16000"/>
    <m/>
    <n v="1"/>
  </r>
  <r>
    <n v="1"/>
    <x v="2"/>
    <s v="CASA"/>
    <m/>
    <m/>
    <x v="268"/>
    <n v="36000"/>
    <n v="5"/>
    <n v="0"/>
    <n v="7200"/>
    <n v="7200"/>
    <n v="28800"/>
    <m/>
    <n v="1"/>
  </r>
  <r>
    <n v="1"/>
    <x v="2"/>
    <s v="CASA"/>
    <m/>
    <m/>
    <x v="268"/>
    <n v="16417.5"/>
    <n v="5"/>
    <n v="0"/>
    <n v="3283.5"/>
    <n v="3283.5"/>
    <n v="13134"/>
    <m/>
    <n v="1"/>
  </r>
  <r>
    <n v="1"/>
    <x v="3"/>
    <s v="State of the Arc"/>
    <m/>
    <m/>
    <x v="269"/>
    <n v="27959.53"/>
    <n v="5"/>
    <n v="0"/>
    <n v="5591.9059999999999"/>
    <n v="5591.9059999999999"/>
    <n v="22367.624"/>
    <m/>
    <n v="1"/>
  </r>
  <r>
    <n v="1"/>
    <x v="2"/>
    <s v="State of the Arc"/>
    <m/>
    <m/>
    <x v="269"/>
    <n v="48500"/>
    <n v="5"/>
    <n v="0"/>
    <n v="9700"/>
    <n v="9700"/>
    <n v="38800"/>
    <m/>
    <n v="1"/>
  </r>
  <r>
    <n v="1"/>
    <x v="0"/>
    <s v="RUBIKS IT"/>
    <m/>
    <m/>
    <x v="270"/>
    <n v="1233.7"/>
    <n v="3"/>
    <n v="0"/>
    <n v="411.23333333333335"/>
    <n v="411.23333333333335"/>
    <n v="822.4666666666667"/>
    <m/>
    <n v="1"/>
  </r>
  <r>
    <n v="1"/>
    <x v="0"/>
    <s v="Harvey Norman"/>
    <m/>
    <n v="19225073"/>
    <x v="271"/>
    <n v="1598"/>
    <n v="3"/>
    <n v="0"/>
    <n v="532.66666666666663"/>
    <n v="532.66666666666663"/>
    <n v="1065.3333333333335"/>
    <m/>
    <n v="1"/>
  </r>
  <r>
    <n v="1"/>
    <x v="0"/>
    <s v="Rubiks IT"/>
    <m/>
    <m/>
    <x v="272"/>
    <n v="6929"/>
    <n v="3"/>
    <n v="0"/>
    <n v="2309.6666666666665"/>
    <n v="2309.6666666666665"/>
    <n v="4619.3333333333339"/>
    <m/>
    <n v="1"/>
  </r>
  <r>
    <n v="1"/>
    <x v="2"/>
    <s v="Total Tools"/>
    <m/>
    <m/>
    <x v="273"/>
    <n v="1271.82"/>
    <n v="3"/>
    <n v="0"/>
    <n v="423.94"/>
    <n v="423.94"/>
    <n v="847.87999999999988"/>
    <m/>
    <n v="1"/>
  </r>
  <r>
    <n v="1"/>
    <x v="5"/>
    <s v="ABSOLUTE LIFTING &amp; SAFETY"/>
    <m/>
    <s v="LTEQMB001"/>
    <x v="273"/>
    <n v="10170"/>
    <n v="5"/>
    <n v="0"/>
    <n v="2034"/>
    <n v="2034"/>
    <n v="8136"/>
    <m/>
    <n v="1"/>
  </r>
  <r>
    <n v="1"/>
    <x v="5"/>
    <s v="ABSOLUTE LIFTING &amp; SAFETY"/>
    <m/>
    <m/>
    <x v="274"/>
    <n v="8799"/>
    <n v="5"/>
    <n v="0"/>
    <n v="1759.8"/>
    <n v="1759.8"/>
    <n v="7039.2"/>
    <m/>
    <n v="1"/>
  </r>
  <r>
    <n v="5"/>
    <x v="8"/>
    <s v="Harvey Norman - The Ecomm Store"/>
    <m/>
    <m/>
    <x v="275"/>
    <n v="4497.95"/>
    <n v="5"/>
    <n v="0"/>
    <n v="899.58999999999992"/>
    <n v="899.58999999999992"/>
    <n v="3598.3599999999997"/>
    <m/>
    <n v="1"/>
  </r>
  <r>
    <n v="1"/>
    <x v="0"/>
    <s v="RUBIKS IT"/>
    <m/>
    <m/>
    <x v="276"/>
    <n v="2354.5500000000002"/>
    <n v="3"/>
    <n v="0"/>
    <n v="784.85"/>
    <n v="784.85"/>
    <n v="1569.7000000000003"/>
    <m/>
    <n v="1"/>
  </r>
  <r>
    <n v="200"/>
    <x v="2"/>
    <s v="ACTECH"/>
    <m/>
    <m/>
    <x v="277"/>
    <n v="69750"/>
    <n v="7"/>
    <n v="0"/>
    <n v="9964.2857142857138"/>
    <n v="9964.2857142857138"/>
    <n v="59785.71428571429"/>
    <m/>
    <n v="1"/>
  </r>
  <r>
    <n v="1"/>
    <x v="5"/>
    <s v="ABSOLUTE LIFTING &amp; SAFETY"/>
    <m/>
    <m/>
    <x v="278"/>
    <n v="32984"/>
    <n v="5"/>
    <n v="0"/>
    <n v="6596.8"/>
    <n v="6596.8"/>
    <n v="26387.200000000001"/>
    <m/>
    <n v="1"/>
  </r>
  <r>
    <n v="1"/>
    <x v="0"/>
    <s v="RUBIKS IT"/>
    <m/>
    <m/>
    <x v="279"/>
    <n v="2338.1799999999998"/>
    <n v="3"/>
    <n v="0"/>
    <n v="779.39333333333332"/>
    <n v="779.39333333333332"/>
    <n v="1558.7866666666664"/>
    <m/>
    <n v="1"/>
  </r>
  <r>
    <n v="1"/>
    <x v="0"/>
    <s v="Rubiks IT"/>
    <m/>
    <m/>
    <x v="280"/>
    <n v="3921"/>
    <n v="3"/>
    <n v="0"/>
    <n v="1307"/>
    <n v="1307"/>
    <n v="2614"/>
    <m/>
    <n v="1"/>
  </r>
  <r>
    <n v="1"/>
    <x v="0"/>
    <s v="Rubiks IT"/>
    <m/>
    <m/>
    <x v="281"/>
    <n v="1442.87"/>
    <n v="3"/>
    <n v="0"/>
    <n v="480.95666666666665"/>
    <n v="480.95666666666665"/>
    <n v="961.91333333333318"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1F426-9615-4A54-B1DA-E455EB41BDC3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" firstHeaderRow="0" firstDataRow="1" firstDataCol="1" rowPageCount="1" colPageCount="1"/>
  <pivotFields count="14">
    <pivotField showAll="0"/>
    <pivotField axis="axisRow" showAll="0">
      <items count="10">
        <item x="1"/>
        <item x="0"/>
        <item x="3"/>
        <item x="4"/>
        <item x="2"/>
        <item x="5"/>
        <item x="6"/>
        <item x="7"/>
        <item x="8"/>
        <item t="default"/>
      </items>
    </pivotField>
    <pivotField showAll="0"/>
    <pivotField showAll="0"/>
    <pivotField showAll="0"/>
    <pivotField axis="axisPage" numFmtId="14" showAll="0">
      <items count="2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26"/>
        <item x="120"/>
        <item x="126"/>
        <item x="13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t="default"/>
      </items>
    </pivotField>
    <pivotField dataField="1" numFmtId="4" showAll="0"/>
    <pivotField showAll="0"/>
    <pivotField numFmtId="164" showAll="0"/>
    <pivotField dataField="1" numFmtId="164" showAll="0"/>
    <pivotField dataField="1" numFmtId="164" showAll="0"/>
    <pivotField dataField="1" numFmtId="164" showAll="0"/>
    <pivotField showAll="0"/>
    <pivotField numFmtId="2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hier="-1"/>
  </pageFields>
  <dataFields count="4">
    <dataField name="Sum of Acquisition Cost" fld="6" baseField="0" baseItem="0"/>
    <dataField name="Sum of Acc Depreciation" fld="9" baseField="0" baseItem="0"/>
    <dataField name="Sum of Depreciation This Period (Initial)" fld="10" baseField="0" baseItem="0"/>
    <dataField name="Sum of Book Value" fld="11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9D881-06CC-41C9-A65D-CB540AF05D60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16">
    <pivotField showAll="0"/>
    <pivotField showAll="0"/>
    <pivotField showAll="0"/>
    <pivotField axis="axisRow" showAll="0">
      <items count="11">
        <item x="4"/>
        <item x="3"/>
        <item x="1"/>
        <item x="2"/>
        <item x="0"/>
        <item x="7"/>
        <item x="5"/>
        <item x="6"/>
        <item x="8"/>
        <item m="1" x="9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showAll="0"/>
    <pivotField showAll="0"/>
    <pivotField showAll="0"/>
    <pivotField dataField="1" numFmtId="164"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quisition Cost" fld="8" baseField="0" baseItem="0"/>
    <dataField name="Sum of Book Value" fld="13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140D6-3349-460D-8CB2-E8A72404046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5">
    <pivotField showAll="0"/>
    <pivotField showAll="0"/>
    <pivotField showAll="0"/>
    <pivotField axis="axisRow" showAll="0">
      <items count="7">
        <item x="3"/>
        <item x="4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quisition Cost" fld="8" baseField="0" baseItem="0"/>
    <dataField name="Sum of Book Value" fld="13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8612-A0C0-473F-897C-841FE1AFAACB}">
  <dimension ref="A1:R448"/>
  <sheetViews>
    <sheetView topLeftCell="D1" zoomScale="90" zoomScaleNormal="90" workbookViewId="0">
      <pane ySplit="6" topLeftCell="A424" activePane="bottomLeft" state="frozen"/>
      <selection pane="bottomLeft" activeCell="B449" sqref="B449"/>
    </sheetView>
  </sheetViews>
  <sheetFormatPr defaultColWidth="8.85546875" defaultRowHeight="15" x14ac:dyDescent="0.25"/>
  <cols>
    <col min="1" max="1" width="6.7109375" style="31" customWidth="1"/>
    <col min="2" max="2" width="79.85546875" style="31" bestFit="1" customWidth="1"/>
    <col min="3" max="3" width="11.7109375" style="31" customWidth="1"/>
    <col min="4" max="4" width="21.7109375" style="52" customWidth="1"/>
    <col min="5" max="5" width="49.28515625" style="31" bestFit="1" customWidth="1"/>
    <col min="6" max="6" width="14.42578125" style="31" customWidth="1"/>
    <col min="7" max="7" width="45" style="31" customWidth="1"/>
    <col min="8" max="8" width="13.42578125" style="45" customWidth="1"/>
    <col min="9" max="9" width="14.42578125" style="67" customWidth="1"/>
    <col min="10" max="10" width="10.5703125" style="31" customWidth="1"/>
    <col min="11" max="11" width="13.42578125" style="53" customWidth="1"/>
    <col min="12" max="12" width="18.28515625" style="31" customWidth="1"/>
    <col min="13" max="13" width="15.7109375" style="31" customWidth="1"/>
    <col min="14" max="14" width="15.5703125" style="31" customWidth="1"/>
    <col min="15" max="15" width="25.5703125" style="48" customWidth="1"/>
    <col min="16" max="16" width="12" style="48" customWidth="1"/>
    <col min="17" max="16384" width="8.85546875" style="31"/>
  </cols>
  <sheetData>
    <row r="1" spans="1:17" x14ac:dyDescent="0.25">
      <c r="D1" s="31"/>
      <c r="H1" s="31"/>
      <c r="O1" s="31"/>
    </row>
    <row r="2" spans="1:17" ht="21" x14ac:dyDescent="0.35">
      <c r="B2" s="32" t="s">
        <v>14</v>
      </c>
      <c r="D2" s="31"/>
      <c r="H2" s="31"/>
      <c r="O2" s="31"/>
    </row>
    <row r="3" spans="1:17" x14ac:dyDescent="0.25">
      <c r="B3" s="33"/>
      <c r="D3" s="31"/>
      <c r="H3" s="31"/>
      <c r="O3" s="31"/>
    </row>
    <row r="4" spans="1:17" x14ac:dyDescent="0.25">
      <c r="D4" s="31"/>
      <c r="H4" s="31"/>
      <c r="O4" s="31"/>
    </row>
    <row r="5" spans="1:17" ht="15.75" thickBot="1" x14ac:dyDescent="0.3">
      <c r="D5" s="31"/>
      <c r="H5" s="31"/>
      <c r="O5" s="31"/>
    </row>
    <row r="6" spans="1:17" ht="46.5" thickTop="1" thickBot="1" x14ac:dyDescent="0.3">
      <c r="A6" s="69" t="s">
        <v>15</v>
      </c>
      <c r="B6" s="69" t="s">
        <v>16</v>
      </c>
      <c r="C6" s="69" t="s">
        <v>17</v>
      </c>
      <c r="D6" s="69" t="s">
        <v>18</v>
      </c>
      <c r="E6" s="69" t="s">
        <v>19</v>
      </c>
      <c r="F6" s="69" t="s">
        <v>20</v>
      </c>
      <c r="G6" s="69" t="s">
        <v>21</v>
      </c>
      <c r="H6" s="69" t="s">
        <v>0</v>
      </c>
      <c r="I6" s="69" t="s">
        <v>22</v>
      </c>
      <c r="J6" s="69" t="s">
        <v>23</v>
      </c>
      <c r="K6" s="69" t="s">
        <v>24</v>
      </c>
      <c r="L6" s="69" t="s">
        <v>25</v>
      </c>
      <c r="M6" s="69" t="s">
        <v>26</v>
      </c>
      <c r="N6" s="69" t="s">
        <v>27</v>
      </c>
      <c r="O6" s="69" t="s">
        <v>28</v>
      </c>
      <c r="P6" s="69" t="s">
        <v>29</v>
      </c>
    </row>
    <row r="7" spans="1:17" ht="30.75" thickTop="1" x14ac:dyDescent="0.25">
      <c r="A7" s="34">
        <v>1</v>
      </c>
      <c r="B7" s="35" t="s">
        <v>91</v>
      </c>
      <c r="C7" s="34">
        <v>1</v>
      </c>
      <c r="D7" s="35" t="s">
        <v>8</v>
      </c>
      <c r="E7" s="35" t="s">
        <v>92</v>
      </c>
      <c r="F7" s="34"/>
      <c r="G7" s="34"/>
      <c r="H7" s="36">
        <v>44328</v>
      </c>
      <c r="I7" s="37">
        <v>2461.81</v>
      </c>
      <c r="J7" s="34">
        <v>4</v>
      </c>
      <c r="K7" s="39">
        <v>0</v>
      </c>
      <c r="L7" s="54">
        <v>2461.81</v>
      </c>
      <c r="M7" s="39">
        <f>(I7-K7)/J7</f>
        <v>615.45249999999999</v>
      </c>
      <c r="N7" s="70">
        <f>I7-L7</f>
        <v>0</v>
      </c>
      <c r="O7" s="40" t="s">
        <v>94</v>
      </c>
      <c r="P7" s="40">
        <v>0</v>
      </c>
      <c r="Q7" s="48"/>
    </row>
    <row r="8" spans="1:17" x14ac:dyDescent="0.25">
      <c r="A8" s="34">
        <v>2</v>
      </c>
      <c r="B8" s="41" t="s">
        <v>62</v>
      </c>
      <c r="C8" s="38">
        <v>1</v>
      </c>
      <c r="D8" s="41" t="s">
        <v>7</v>
      </c>
      <c r="E8" s="41" t="s">
        <v>63</v>
      </c>
      <c r="F8" s="38"/>
      <c r="G8" s="38"/>
      <c r="H8" s="42">
        <v>44330</v>
      </c>
      <c r="I8" s="43">
        <v>3300</v>
      </c>
      <c r="J8" s="38">
        <v>5</v>
      </c>
      <c r="K8" s="39">
        <v>660</v>
      </c>
      <c r="L8" s="54">
        <v>3300</v>
      </c>
      <c r="M8" s="39">
        <f>(I8-K8)/J8</f>
        <v>528</v>
      </c>
      <c r="N8" s="70">
        <v>0</v>
      </c>
      <c r="O8" s="44" t="s">
        <v>33</v>
      </c>
      <c r="P8" s="40">
        <v>0</v>
      </c>
    </row>
    <row r="9" spans="1:17" x14ac:dyDescent="0.25">
      <c r="A9" s="34">
        <v>3</v>
      </c>
      <c r="B9" s="41" t="s">
        <v>111</v>
      </c>
      <c r="C9" s="38">
        <v>1</v>
      </c>
      <c r="D9" s="41" t="s">
        <v>11</v>
      </c>
      <c r="E9" s="41" t="s">
        <v>112</v>
      </c>
      <c r="F9" s="38"/>
      <c r="G9" s="38"/>
      <c r="H9" s="42">
        <v>44343</v>
      </c>
      <c r="I9" s="43">
        <v>736</v>
      </c>
      <c r="J9" s="38">
        <v>3</v>
      </c>
      <c r="K9" s="39">
        <v>0</v>
      </c>
      <c r="L9" s="54">
        <f>M9*P9</f>
        <v>0</v>
      </c>
      <c r="M9" s="39">
        <f>(I9-K9)/J9</f>
        <v>245.33333333333334</v>
      </c>
      <c r="N9" s="70">
        <f>I9-L9</f>
        <v>736</v>
      </c>
      <c r="O9" s="44" t="s">
        <v>110</v>
      </c>
      <c r="P9" s="40">
        <v>0</v>
      </c>
    </row>
    <row r="10" spans="1:17" x14ac:dyDescent="0.25">
      <c r="A10" s="34">
        <v>4</v>
      </c>
      <c r="B10" s="41" t="s">
        <v>113</v>
      </c>
      <c r="C10" s="38">
        <v>1</v>
      </c>
      <c r="D10" s="41" t="s">
        <v>11</v>
      </c>
      <c r="E10" s="41" t="s">
        <v>112</v>
      </c>
      <c r="F10" s="38"/>
      <c r="G10" s="38"/>
      <c r="H10" s="42">
        <v>44343</v>
      </c>
      <c r="I10" s="43">
        <v>785</v>
      </c>
      <c r="J10" s="38">
        <v>3</v>
      </c>
      <c r="K10" s="39">
        <v>0</v>
      </c>
      <c r="L10" s="54">
        <f>M10*P10</f>
        <v>0</v>
      </c>
      <c r="M10" s="39">
        <f>(I10-K10)/J10</f>
        <v>261.66666666666669</v>
      </c>
      <c r="N10" s="70">
        <f>I10-L10</f>
        <v>785</v>
      </c>
      <c r="O10" s="44" t="s">
        <v>110</v>
      </c>
      <c r="P10" s="40">
        <v>0</v>
      </c>
    </row>
    <row r="11" spans="1:17" x14ac:dyDescent="0.25">
      <c r="A11" s="34">
        <v>5</v>
      </c>
      <c r="B11" s="41" t="s">
        <v>134</v>
      </c>
      <c r="C11" s="38">
        <v>1</v>
      </c>
      <c r="D11" s="41" t="s">
        <v>11</v>
      </c>
      <c r="E11" s="41" t="s">
        <v>135</v>
      </c>
      <c r="F11" s="38"/>
      <c r="G11" s="38"/>
      <c r="H11" s="42">
        <v>44362</v>
      </c>
      <c r="I11" s="43">
        <v>2351.88</v>
      </c>
      <c r="J11" s="38">
        <v>3</v>
      </c>
      <c r="K11" s="39">
        <v>0</v>
      </c>
      <c r="L11" s="54">
        <f>M11*P11</f>
        <v>2351.88</v>
      </c>
      <c r="M11" s="39">
        <f>(I11-K11)/J11</f>
        <v>783.96</v>
      </c>
      <c r="N11" s="39">
        <f>I11-L11</f>
        <v>0</v>
      </c>
      <c r="O11" s="44"/>
      <c r="P11" s="40">
        <v>3</v>
      </c>
    </row>
    <row r="12" spans="1:17" x14ac:dyDescent="0.25">
      <c r="A12" s="34">
        <v>6</v>
      </c>
      <c r="B12" s="41" t="s">
        <v>136</v>
      </c>
      <c r="C12" s="38">
        <v>1</v>
      </c>
      <c r="D12" s="41" t="s">
        <v>11</v>
      </c>
      <c r="E12" s="41" t="s">
        <v>135</v>
      </c>
      <c r="F12" s="38"/>
      <c r="G12" s="38"/>
      <c r="H12" s="42">
        <v>44362</v>
      </c>
      <c r="I12" s="43">
        <v>961.49</v>
      </c>
      <c r="J12" s="38">
        <v>3</v>
      </c>
      <c r="K12" s="39">
        <v>0</v>
      </c>
      <c r="L12" s="54">
        <v>961.49</v>
      </c>
      <c r="M12" s="39">
        <f>(I12-K12)/J12</f>
        <v>320.49666666666667</v>
      </c>
      <c r="N12" s="70">
        <f>I12-L12</f>
        <v>0</v>
      </c>
      <c r="O12" s="44" t="s">
        <v>94</v>
      </c>
      <c r="P12" s="40">
        <v>0</v>
      </c>
    </row>
    <row r="13" spans="1:17" x14ac:dyDescent="0.25">
      <c r="A13" s="34">
        <v>7</v>
      </c>
      <c r="B13" s="41" t="s">
        <v>81</v>
      </c>
      <c r="C13" s="38">
        <v>4</v>
      </c>
      <c r="D13" s="41" t="s">
        <v>11</v>
      </c>
      <c r="E13" s="41" t="s">
        <v>82</v>
      </c>
      <c r="F13" s="38"/>
      <c r="G13" s="38"/>
      <c r="H13" s="42">
        <v>44369</v>
      </c>
      <c r="I13" s="43">
        <v>9800</v>
      </c>
      <c r="J13" s="38">
        <v>10</v>
      </c>
      <c r="K13" s="39">
        <v>980</v>
      </c>
      <c r="L13" s="54">
        <f>M13*P13</f>
        <v>3528</v>
      </c>
      <c r="M13" s="39">
        <f>(I13-K13)/J13</f>
        <v>882</v>
      </c>
      <c r="N13" s="39">
        <f>I13-L13</f>
        <v>6272</v>
      </c>
      <c r="O13" s="44" t="s">
        <v>83</v>
      </c>
      <c r="P13" s="40">
        <v>4</v>
      </c>
    </row>
    <row r="14" spans="1:17" ht="30" x14ac:dyDescent="0.25">
      <c r="A14" s="34">
        <v>8</v>
      </c>
      <c r="B14" s="41" t="s">
        <v>84</v>
      </c>
      <c r="C14" s="38">
        <v>8</v>
      </c>
      <c r="D14" s="41" t="s">
        <v>11</v>
      </c>
      <c r="E14" s="41" t="s">
        <v>82</v>
      </c>
      <c r="F14" s="38"/>
      <c r="G14" s="38"/>
      <c r="H14" s="42">
        <v>44369</v>
      </c>
      <c r="I14" s="43">
        <v>25200</v>
      </c>
      <c r="J14" s="38">
        <v>5</v>
      </c>
      <c r="K14" s="39">
        <v>2520</v>
      </c>
      <c r="L14" s="54">
        <f>M14*P14</f>
        <v>18144</v>
      </c>
      <c r="M14" s="39">
        <f>(I14-K14)/J14</f>
        <v>4536</v>
      </c>
      <c r="N14" s="39">
        <f>I14-L14</f>
        <v>7056</v>
      </c>
      <c r="O14" s="44" t="s">
        <v>85</v>
      </c>
      <c r="P14" s="40">
        <v>4</v>
      </c>
    </row>
    <row r="15" spans="1:17" ht="30" x14ac:dyDescent="0.25">
      <c r="A15" s="34">
        <v>9</v>
      </c>
      <c r="B15" s="46" t="s">
        <v>86</v>
      </c>
      <c r="C15" s="38">
        <v>1</v>
      </c>
      <c r="D15" s="41" t="s">
        <v>9</v>
      </c>
      <c r="E15" s="41" t="s">
        <v>82</v>
      </c>
      <c r="F15" s="38"/>
      <c r="G15" s="38"/>
      <c r="H15" s="42">
        <v>44369</v>
      </c>
      <c r="I15" s="43">
        <v>8900</v>
      </c>
      <c r="J15" s="38">
        <v>5</v>
      </c>
      <c r="K15" s="39">
        <v>890</v>
      </c>
      <c r="L15" s="54">
        <f>M15*P15</f>
        <v>6408</v>
      </c>
      <c r="M15" s="39">
        <f>(I15-K15)/J15</f>
        <v>1602</v>
      </c>
      <c r="N15" s="39">
        <f>I15-L15</f>
        <v>2492</v>
      </c>
      <c r="O15" s="44"/>
      <c r="P15" s="40">
        <v>4</v>
      </c>
    </row>
    <row r="16" spans="1:17" x14ac:dyDescent="0.25">
      <c r="A16" s="34">
        <v>10</v>
      </c>
      <c r="B16" s="41" t="s">
        <v>137</v>
      </c>
      <c r="C16" s="38">
        <v>1</v>
      </c>
      <c r="D16" s="41" t="s">
        <v>9</v>
      </c>
      <c r="E16" s="41" t="s">
        <v>135</v>
      </c>
      <c r="F16" s="38"/>
      <c r="G16" s="38"/>
      <c r="H16" s="42">
        <v>44379</v>
      </c>
      <c r="I16" s="43">
        <v>2952.28</v>
      </c>
      <c r="J16" s="38">
        <v>10</v>
      </c>
      <c r="K16" s="39">
        <v>590.46</v>
      </c>
      <c r="L16" s="54">
        <f>M16*P16</f>
        <v>944.72800000000007</v>
      </c>
      <c r="M16" s="39">
        <f>(I16-K16)/J16</f>
        <v>236.18200000000002</v>
      </c>
      <c r="N16" s="39">
        <f>I16-L16</f>
        <v>2007.5520000000001</v>
      </c>
      <c r="O16" s="44"/>
      <c r="P16" s="40">
        <v>4</v>
      </c>
    </row>
    <row r="17" spans="1:16" x14ac:dyDescent="0.25">
      <c r="A17" s="34">
        <v>11</v>
      </c>
      <c r="B17" s="41" t="s">
        <v>138</v>
      </c>
      <c r="C17" s="38">
        <v>4</v>
      </c>
      <c r="D17" s="41" t="s">
        <v>11</v>
      </c>
      <c r="E17" s="41" t="s">
        <v>135</v>
      </c>
      <c r="F17" s="38"/>
      <c r="G17" s="38"/>
      <c r="H17" s="42">
        <v>44398</v>
      </c>
      <c r="I17" s="43">
        <v>2320</v>
      </c>
      <c r="J17" s="38">
        <v>5</v>
      </c>
      <c r="K17" s="39">
        <v>232</v>
      </c>
      <c r="L17" s="54">
        <f>M17*P17</f>
        <v>1670.4</v>
      </c>
      <c r="M17" s="39">
        <f>(I17-K17)/J17</f>
        <v>417.6</v>
      </c>
      <c r="N17" s="39">
        <f>I17-L17</f>
        <v>649.59999999999991</v>
      </c>
      <c r="O17" s="44" t="s">
        <v>139</v>
      </c>
      <c r="P17" s="40">
        <v>4</v>
      </c>
    </row>
    <row r="18" spans="1:16" x14ac:dyDescent="0.25">
      <c r="A18" s="34">
        <v>12</v>
      </c>
      <c r="B18" s="41" t="s">
        <v>64</v>
      </c>
      <c r="C18" s="38">
        <v>1</v>
      </c>
      <c r="D18" s="41" t="s">
        <v>7</v>
      </c>
      <c r="E18" s="41" t="s">
        <v>63</v>
      </c>
      <c r="F18" s="38"/>
      <c r="G18" s="38"/>
      <c r="H18" s="42">
        <v>44452</v>
      </c>
      <c r="I18" s="43">
        <v>17600</v>
      </c>
      <c r="J18" s="38">
        <v>5</v>
      </c>
      <c r="K18" s="39">
        <v>3520</v>
      </c>
      <c r="L18" s="54">
        <v>17600</v>
      </c>
      <c r="M18" s="39">
        <f>(I18-K18)/J18</f>
        <v>2816</v>
      </c>
      <c r="N18" s="70">
        <v>0</v>
      </c>
      <c r="O18" s="44" t="s">
        <v>33</v>
      </c>
      <c r="P18" s="40">
        <v>0</v>
      </c>
    </row>
    <row r="19" spans="1:16" x14ac:dyDescent="0.25">
      <c r="A19" s="34">
        <v>13</v>
      </c>
      <c r="B19" s="41" t="s">
        <v>70</v>
      </c>
      <c r="C19" s="38">
        <v>1</v>
      </c>
      <c r="D19" s="41" t="s">
        <v>11</v>
      </c>
      <c r="E19" s="41" t="s">
        <v>71</v>
      </c>
      <c r="F19" s="38"/>
      <c r="G19" s="38"/>
      <c r="H19" s="42">
        <v>44453</v>
      </c>
      <c r="I19" s="43">
        <v>2990</v>
      </c>
      <c r="J19" s="38">
        <v>3</v>
      </c>
      <c r="K19" s="39">
        <v>0</v>
      </c>
      <c r="L19" s="54">
        <f>M19*P19</f>
        <v>0</v>
      </c>
      <c r="M19" s="39">
        <f>(I19-K19)/J19</f>
        <v>996.66666666666663</v>
      </c>
      <c r="N19" s="70">
        <v>0</v>
      </c>
      <c r="O19" s="44" t="s">
        <v>33</v>
      </c>
      <c r="P19" s="40">
        <v>0</v>
      </c>
    </row>
    <row r="20" spans="1:16" ht="30" x14ac:dyDescent="0.25">
      <c r="A20" s="34">
        <v>14</v>
      </c>
      <c r="B20" s="41" t="s">
        <v>89</v>
      </c>
      <c r="C20" s="38">
        <v>1</v>
      </c>
      <c r="D20" s="41" t="s">
        <v>7</v>
      </c>
      <c r="E20" s="41" t="s">
        <v>90</v>
      </c>
      <c r="F20" s="38"/>
      <c r="G20" s="38"/>
      <c r="H20" s="42">
        <v>44453</v>
      </c>
      <c r="I20" s="43">
        <v>21503</v>
      </c>
      <c r="J20" s="38">
        <v>5</v>
      </c>
      <c r="K20" s="39">
        <v>4300.6000000000004</v>
      </c>
      <c r="L20" s="54">
        <v>21503</v>
      </c>
      <c r="M20" s="39">
        <f>(I20-K20)/J20</f>
        <v>3440.4800000000005</v>
      </c>
      <c r="N20" s="70">
        <f>I20-L20</f>
        <v>0</v>
      </c>
      <c r="O20" s="44" t="s">
        <v>33</v>
      </c>
      <c r="P20" s="40">
        <v>0</v>
      </c>
    </row>
    <row r="21" spans="1:16" x14ac:dyDescent="0.25">
      <c r="A21" s="34">
        <v>15</v>
      </c>
      <c r="B21" s="41" t="s">
        <v>60</v>
      </c>
      <c r="C21" s="38">
        <v>1</v>
      </c>
      <c r="D21" s="46" t="s">
        <v>9</v>
      </c>
      <c r="E21" s="46" t="s">
        <v>61</v>
      </c>
      <c r="F21" s="73"/>
      <c r="G21" s="73">
        <v>526916121</v>
      </c>
      <c r="H21" s="74">
        <v>44462</v>
      </c>
      <c r="I21" s="75">
        <v>33800</v>
      </c>
      <c r="J21" s="73">
        <v>3</v>
      </c>
      <c r="K21" s="70">
        <v>6760</v>
      </c>
      <c r="L21" s="76">
        <v>33800</v>
      </c>
      <c r="M21" s="70">
        <f>(I21-K21)/J21</f>
        <v>9013.3333333333339</v>
      </c>
      <c r="N21" s="70">
        <f>I21-L21</f>
        <v>0</v>
      </c>
      <c r="O21" s="44" t="s">
        <v>621</v>
      </c>
      <c r="P21" s="40">
        <v>0</v>
      </c>
    </row>
    <row r="22" spans="1:16" ht="30" x14ac:dyDescent="0.25">
      <c r="A22" s="34">
        <v>16</v>
      </c>
      <c r="B22" s="41" t="s">
        <v>124</v>
      </c>
      <c r="C22" s="38">
        <v>1</v>
      </c>
      <c r="D22" s="41" t="s">
        <v>11</v>
      </c>
      <c r="E22" s="41" t="s">
        <v>125</v>
      </c>
      <c r="F22" s="38"/>
      <c r="G22" s="38"/>
      <c r="H22" s="42">
        <v>44463</v>
      </c>
      <c r="I22" s="43">
        <v>1395</v>
      </c>
      <c r="J22" s="38">
        <v>5</v>
      </c>
      <c r="K22" s="39">
        <v>139.5</v>
      </c>
      <c r="L22" s="54">
        <v>1395</v>
      </c>
      <c r="M22" s="39">
        <f>(I22-K22)/J22</f>
        <v>251.1</v>
      </c>
      <c r="N22" s="70">
        <f>I22-L22</f>
        <v>0</v>
      </c>
      <c r="O22" s="44" t="s">
        <v>110</v>
      </c>
      <c r="P22" s="40">
        <v>0</v>
      </c>
    </row>
    <row r="23" spans="1:16" x14ac:dyDescent="0.25">
      <c r="A23" s="34">
        <v>17</v>
      </c>
      <c r="B23" s="41" t="s">
        <v>121</v>
      </c>
      <c r="C23" s="38">
        <v>1</v>
      </c>
      <c r="D23" s="41" t="s">
        <v>11</v>
      </c>
      <c r="E23" s="41" t="s">
        <v>122</v>
      </c>
      <c r="F23" s="38"/>
      <c r="G23" s="38"/>
      <c r="H23" s="42">
        <v>44474</v>
      </c>
      <c r="I23" s="43">
        <v>1929</v>
      </c>
      <c r="J23" s="38">
        <v>10</v>
      </c>
      <c r="K23" s="39">
        <v>0</v>
      </c>
      <c r="L23" s="54">
        <v>1929</v>
      </c>
      <c r="M23" s="39">
        <f>(I23-K23)/J23</f>
        <v>192.9</v>
      </c>
      <c r="N23" s="70">
        <f>I23-L23</f>
        <v>0</v>
      </c>
      <c r="O23" s="44" t="s">
        <v>123</v>
      </c>
      <c r="P23" s="40">
        <v>0</v>
      </c>
    </row>
    <row r="24" spans="1:16" ht="30" x14ac:dyDescent="0.25">
      <c r="A24" s="34">
        <v>18</v>
      </c>
      <c r="B24" s="38" t="s">
        <v>34</v>
      </c>
      <c r="C24" s="38">
        <v>50</v>
      </c>
      <c r="D24" s="41" t="s">
        <v>10</v>
      </c>
      <c r="E24" s="41" t="s">
        <v>35</v>
      </c>
      <c r="F24" s="38"/>
      <c r="G24" s="38"/>
      <c r="H24" s="42">
        <v>44480</v>
      </c>
      <c r="I24" s="43">
        <v>12750</v>
      </c>
      <c r="J24" s="38">
        <v>7</v>
      </c>
      <c r="K24" s="39">
        <v>1275</v>
      </c>
      <c r="L24" s="54">
        <v>12750</v>
      </c>
      <c r="M24" s="39">
        <f>(I24-K24)/J24</f>
        <v>1639.2857142857142</v>
      </c>
      <c r="N24" s="70">
        <f>I24-L24</f>
        <v>0</v>
      </c>
      <c r="O24" s="44" t="s">
        <v>33</v>
      </c>
      <c r="P24" s="40">
        <v>0</v>
      </c>
    </row>
    <row r="25" spans="1:16" ht="30" x14ac:dyDescent="0.25">
      <c r="A25" s="34">
        <v>19</v>
      </c>
      <c r="B25" s="38" t="s">
        <v>36</v>
      </c>
      <c r="C25" s="38">
        <v>40</v>
      </c>
      <c r="D25" s="41" t="s">
        <v>10</v>
      </c>
      <c r="E25" s="41" t="s">
        <v>35</v>
      </c>
      <c r="F25" s="38"/>
      <c r="G25" s="38"/>
      <c r="H25" s="42">
        <v>44480</v>
      </c>
      <c r="I25" s="43">
        <v>18081.2</v>
      </c>
      <c r="J25" s="38">
        <v>7</v>
      </c>
      <c r="K25" s="39">
        <v>1808.12</v>
      </c>
      <c r="L25" s="54">
        <v>18081.2</v>
      </c>
      <c r="M25" s="39">
        <f>(I25-K25)/J25</f>
        <v>2324.7257142857147</v>
      </c>
      <c r="N25" s="70">
        <f>I25-L25</f>
        <v>0</v>
      </c>
      <c r="O25" s="44" t="s">
        <v>33</v>
      </c>
      <c r="P25" s="40">
        <v>0</v>
      </c>
    </row>
    <row r="26" spans="1:16" ht="30" x14ac:dyDescent="0.25">
      <c r="A26" s="34">
        <v>20</v>
      </c>
      <c r="B26" s="38" t="s">
        <v>37</v>
      </c>
      <c r="C26" s="38">
        <v>16</v>
      </c>
      <c r="D26" s="41" t="s">
        <v>10</v>
      </c>
      <c r="E26" s="41" t="s">
        <v>35</v>
      </c>
      <c r="F26" s="38"/>
      <c r="G26" s="38"/>
      <c r="H26" s="42">
        <v>44480</v>
      </c>
      <c r="I26" s="43">
        <v>9394.7199999999993</v>
      </c>
      <c r="J26" s="38">
        <v>4</v>
      </c>
      <c r="K26" s="39">
        <v>939.47</v>
      </c>
      <c r="L26" s="54">
        <v>9394.7199999999993</v>
      </c>
      <c r="M26" s="39">
        <f>(I26-K26)/J26</f>
        <v>2113.8125</v>
      </c>
      <c r="N26" s="70">
        <f>I26-L26</f>
        <v>0</v>
      </c>
      <c r="O26" s="44" t="s">
        <v>33</v>
      </c>
      <c r="P26" s="40">
        <v>0</v>
      </c>
    </row>
    <row r="27" spans="1:16" ht="30" x14ac:dyDescent="0.25">
      <c r="A27" s="34">
        <v>21</v>
      </c>
      <c r="B27" s="38" t="s">
        <v>38</v>
      </c>
      <c r="C27" s="38">
        <v>16</v>
      </c>
      <c r="D27" s="41" t="s">
        <v>10</v>
      </c>
      <c r="E27" s="41" t="s">
        <v>35</v>
      </c>
      <c r="F27" s="38"/>
      <c r="G27" s="38"/>
      <c r="H27" s="42">
        <v>44480</v>
      </c>
      <c r="I27" s="43">
        <v>12464.64</v>
      </c>
      <c r="J27" s="38">
        <v>4</v>
      </c>
      <c r="K27" s="39">
        <v>1246.4639999999999</v>
      </c>
      <c r="L27" s="54">
        <v>12464.64</v>
      </c>
      <c r="M27" s="39">
        <f>(I27-K27)/J27</f>
        <v>2804.5439999999999</v>
      </c>
      <c r="N27" s="70">
        <f>I27-L27</f>
        <v>0</v>
      </c>
      <c r="O27" s="44" t="s">
        <v>33</v>
      </c>
      <c r="P27" s="40">
        <v>0</v>
      </c>
    </row>
    <row r="28" spans="1:16" ht="30" x14ac:dyDescent="0.25">
      <c r="A28" s="34">
        <v>22</v>
      </c>
      <c r="B28" s="38" t="s">
        <v>39</v>
      </c>
      <c r="C28" s="38">
        <v>16</v>
      </c>
      <c r="D28" s="41" t="s">
        <v>10</v>
      </c>
      <c r="E28" s="41" t="s">
        <v>35</v>
      </c>
      <c r="F28" s="38"/>
      <c r="G28" s="38"/>
      <c r="H28" s="42">
        <v>44480</v>
      </c>
      <c r="I28" s="43">
        <v>14410.08</v>
      </c>
      <c r="J28" s="38">
        <v>4</v>
      </c>
      <c r="K28" s="39">
        <v>1441.008</v>
      </c>
      <c r="L28" s="54">
        <v>14410.08</v>
      </c>
      <c r="M28" s="39">
        <f>(I28-K28)/J28</f>
        <v>3242.268</v>
      </c>
      <c r="N28" s="70">
        <f>I28-L28</f>
        <v>0</v>
      </c>
      <c r="O28" s="44" t="s">
        <v>33</v>
      </c>
      <c r="P28" s="40">
        <v>0</v>
      </c>
    </row>
    <row r="29" spans="1:16" ht="30" x14ac:dyDescent="0.25">
      <c r="A29" s="34">
        <v>23</v>
      </c>
      <c r="B29" s="38" t="s">
        <v>40</v>
      </c>
      <c r="C29" s="38">
        <v>4</v>
      </c>
      <c r="D29" s="41" t="s">
        <v>10</v>
      </c>
      <c r="E29" s="41" t="s">
        <v>35</v>
      </c>
      <c r="F29" s="38"/>
      <c r="G29" s="38"/>
      <c r="H29" s="42">
        <v>44480</v>
      </c>
      <c r="I29" s="43">
        <v>4100.28</v>
      </c>
      <c r="J29" s="38">
        <v>4</v>
      </c>
      <c r="K29" s="39">
        <v>410.02800000000002</v>
      </c>
      <c r="L29" s="54">
        <v>4100.28</v>
      </c>
      <c r="M29" s="39">
        <f>(I29-K29)/J29</f>
        <v>922.56299999999987</v>
      </c>
      <c r="N29" s="70">
        <f>I29-L29</f>
        <v>0</v>
      </c>
      <c r="O29" s="44" t="s">
        <v>33</v>
      </c>
      <c r="P29" s="40">
        <v>0</v>
      </c>
    </row>
    <row r="30" spans="1:16" ht="30" x14ac:dyDescent="0.25">
      <c r="A30" s="34">
        <v>24</v>
      </c>
      <c r="B30" s="38" t="s">
        <v>41</v>
      </c>
      <c r="C30" s="38">
        <v>4</v>
      </c>
      <c r="D30" s="41" t="s">
        <v>10</v>
      </c>
      <c r="E30" s="41" t="s">
        <v>35</v>
      </c>
      <c r="F30" s="38"/>
      <c r="G30" s="38"/>
      <c r="H30" s="42">
        <v>44480</v>
      </c>
      <c r="I30" s="43">
        <v>6303.24</v>
      </c>
      <c r="J30" s="38">
        <v>4</v>
      </c>
      <c r="K30" s="39">
        <v>630.32400000000007</v>
      </c>
      <c r="L30" s="54">
        <v>6303.24</v>
      </c>
      <c r="M30" s="39">
        <f>(I30-K30)/J30</f>
        <v>1418.2289999999998</v>
      </c>
      <c r="N30" s="70">
        <f>I30-L30</f>
        <v>0</v>
      </c>
      <c r="O30" s="44" t="s">
        <v>33</v>
      </c>
      <c r="P30" s="40">
        <v>0</v>
      </c>
    </row>
    <row r="31" spans="1:16" ht="30" x14ac:dyDescent="0.25">
      <c r="A31" s="34">
        <v>25</v>
      </c>
      <c r="B31" s="41" t="s">
        <v>96</v>
      </c>
      <c r="C31" s="38">
        <v>6</v>
      </c>
      <c r="D31" s="41" t="s">
        <v>10</v>
      </c>
      <c r="E31" s="41" t="s">
        <v>97</v>
      </c>
      <c r="F31" s="38"/>
      <c r="G31" s="38"/>
      <c r="H31" s="42">
        <v>44480</v>
      </c>
      <c r="I31" s="43">
        <v>28095.200000000001</v>
      </c>
      <c r="J31" s="38">
        <v>10</v>
      </c>
      <c r="K31" s="39">
        <v>2809.5200000000004</v>
      </c>
      <c r="L31" s="54">
        <f>M31*P31</f>
        <v>10114.272000000001</v>
      </c>
      <c r="M31" s="39">
        <f>(I31-K31)/J31</f>
        <v>2528.5680000000002</v>
      </c>
      <c r="N31" s="39">
        <f>I31-L31</f>
        <v>17980.928</v>
      </c>
      <c r="O31" s="44" t="s">
        <v>98</v>
      </c>
      <c r="P31" s="40">
        <v>4</v>
      </c>
    </row>
    <row r="32" spans="1:16" ht="30" x14ac:dyDescent="0.25">
      <c r="A32" s="34">
        <v>26</v>
      </c>
      <c r="B32" s="41" t="s">
        <v>96</v>
      </c>
      <c r="C32" s="38">
        <v>6</v>
      </c>
      <c r="D32" s="41" t="s">
        <v>10</v>
      </c>
      <c r="E32" s="41" t="s">
        <v>97</v>
      </c>
      <c r="F32" s="38"/>
      <c r="G32" s="38"/>
      <c r="H32" s="42">
        <v>44481</v>
      </c>
      <c r="I32" s="43">
        <v>28095.200000000001</v>
      </c>
      <c r="J32" s="38">
        <v>10</v>
      </c>
      <c r="K32" s="39">
        <v>2809.5200000000004</v>
      </c>
      <c r="L32" s="54">
        <f>M32*P32</f>
        <v>10114.272000000001</v>
      </c>
      <c r="M32" s="39">
        <f>(I32-K32)/J32</f>
        <v>2528.5680000000002</v>
      </c>
      <c r="N32" s="39">
        <f>I32-L32</f>
        <v>17980.928</v>
      </c>
      <c r="O32" s="44" t="s">
        <v>98</v>
      </c>
      <c r="P32" s="40">
        <v>4</v>
      </c>
    </row>
    <row r="33" spans="1:16" ht="30" x14ac:dyDescent="0.25">
      <c r="A33" s="34">
        <v>27</v>
      </c>
      <c r="B33" s="38" t="s">
        <v>36</v>
      </c>
      <c r="C33" s="38">
        <v>10</v>
      </c>
      <c r="D33" s="41" t="s">
        <v>10</v>
      </c>
      <c r="E33" s="41" t="s">
        <v>35</v>
      </c>
      <c r="F33" s="38"/>
      <c r="G33" s="38"/>
      <c r="H33" s="42">
        <v>44482</v>
      </c>
      <c r="I33" s="43">
        <v>4520.3</v>
      </c>
      <c r="J33" s="38">
        <v>7</v>
      </c>
      <c r="K33" s="39">
        <v>452.03000000000003</v>
      </c>
      <c r="L33" s="54">
        <v>4520.3</v>
      </c>
      <c r="M33" s="39">
        <f>(I33-K33)/J33</f>
        <v>581.18142857142857</v>
      </c>
      <c r="N33" s="70">
        <f>I33-L33</f>
        <v>0</v>
      </c>
      <c r="O33" s="44" t="s">
        <v>33</v>
      </c>
      <c r="P33" s="40">
        <v>0</v>
      </c>
    </row>
    <row r="34" spans="1:16" x14ac:dyDescent="0.25">
      <c r="A34" s="34">
        <v>28</v>
      </c>
      <c r="B34" s="41" t="s">
        <v>114</v>
      </c>
      <c r="C34" s="38">
        <v>1</v>
      </c>
      <c r="D34" s="41" t="s">
        <v>11</v>
      </c>
      <c r="E34" s="41" t="s">
        <v>112</v>
      </c>
      <c r="F34" s="38"/>
      <c r="G34" s="38"/>
      <c r="H34" s="42">
        <v>44482</v>
      </c>
      <c r="I34" s="43">
        <v>3959.28</v>
      </c>
      <c r="J34" s="38">
        <v>3</v>
      </c>
      <c r="K34" s="39">
        <v>0</v>
      </c>
      <c r="L34" s="54">
        <f>M34*P34</f>
        <v>0</v>
      </c>
      <c r="M34" s="39">
        <f>(I34-K34)/J34</f>
        <v>1319.76</v>
      </c>
      <c r="N34" s="70">
        <f>I34-L34</f>
        <v>3959.28</v>
      </c>
      <c r="O34" s="44" t="s">
        <v>110</v>
      </c>
      <c r="P34" s="40">
        <v>0</v>
      </c>
    </row>
    <row r="35" spans="1:16" ht="45" x14ac:dyDescent="0.25">
      <c r="A35" s="34">
        <v>29</v>
      </c>
      <c r="B35" s="41" t="s">
        <v>126</v>
      </c>
      <c r="C35" s="38">
        <v>2</v>
      </c>
      <c r="D35" s="41" t="s">
        <v>11</v>
      </c>
      <c r="E35" s="41" t="s">
        <v>125</v>
      </c>
      <c r="F35" s="38"/>
      <c r="G35" s="38"/>
      <c r="H35" s="42">
        <v>44482</v>
      </c>
      <c r="I35" s="43">
        <v>4310</v>
      </c>
      <c r="J35" s="38">
        <v>5</v>
      </c>
      <c r="K35" s="39">
        <v>431</v>
      </c>
      <c r="L35" s="54">
        <v>4310</v>
      </c>
      <c r="M35" s="39">
        <f>(I35-K35)/J35</f>
        <v>775.8</v>
      </c>
      <c r="N35" s="70">
        <f>I35-L35</f>
        <v>0</v>
      </c>
      <c r="O35" s="44" t="s">
        <v>110</v>
      </c>
      <c r="P35" s="40">
        <v>0</v>
      </c>
    </row>
    <row r="36" spans="1:16" x14ac:dyDescent="0.25">
      <c r="A36" s="34">
        <v>30</v>
      </c>
      <c r="B36" s="41" t="s">
        <v>138</v>
      </c>
      <c r="C36" s="38">
        <v>4</v>
      </c>
      <c r="D36" s="41" t="s">
        <v>11</v>
      </c>
      <c r="E36" s="41" t="s">
        <v>135</v>
      </c>
      <c r="F36" s="38"/>
      <c r="G36" s="38"/>
      <c r="H36" s="42">
        <v>44484</v>
      </c>
      <c r="I36" s="43">
        <v>2320</v>
      </c>
      <c r="J36" s="38">
        <v>5</v>
      </c>
      <c r="K36" s="39">
        <v>232</v>
      </c>
      <c r="L36" s="54">
        <f>M36*P36</f>
        <v>1252.8000000000002</v>
      </c>
      <c r="M36" s="39">
        <f>(I36-K36)/J36</f>
        <v>417.6</v>
      </c>
      <c r="N36" s="39">
        <f>I36-L36</f>
        <v>1067.1999999999998</v>
      </c>
      <c r="O36" s="44" t="s">
        <v>139</v>
      </c>
      <c r="P36" s="40">
        <v>3</v>
      </c>
    </row>
    <row r="37" spans="1:16" x14ac:dyDescent="0.25">
      <c r="A37" s="34">
        <v>31</v>
      </c>
      <c r="B37" s="41" t="s">
        <v>116</v>
      </c>
      <c r="C37" s="38">
        <v>1</v>
      </c>
      <c r="D37" s="41" t="s">
        <v>11</v>
      </c>
      <c r="E37" s="41" t="s">
        <v>112</v>
      </c>
      <c r="F37" s="38"/>
      <c r="G37" s="38"/>
      <c r="H37" s="42">
        <v>44487</v>
      </c>
      <c r="I37" s="43">
        <v>1750</v>
      </c>
      <c r="J37" s="38">
        <v>5</v>
      </c>
      <c r="K37" s="39">
        <v>0</v>
      </c>
      <c r="L37" s="54">
        <v>1750</v>
      </c>
      <c r="M37" s="39">
        <f>(I37-K37)/J37</f>
        <v>350</v>
      </c>
      <c r="N37" s="70">
        <f>I37-L37</f>
        <v>0</v>
      </c>
      <c r="O37" s="44" t="s">
        <v>110</v>
      </c>
      <c r="P37" s="40">
        <v>0</v>
      </c>
    </row>
    <row r="38" spans="1:16" x14ac:dyDescent="0.25">
      <c r="A38" s="34">
        <v>32</v>
      </c>
      <c r="B38" s="41" t="s">
        <v>115</v>
      </c>
      <c r="C38" s="38">
        <v>1</v>
      </c>
      <c r="D38" s="41" t="s">
        <v>11</v>
      </c>
      <c r="E38" s="41" t="s">
        <v>112</v>
      </c>
      <c r="F38" s="38"/>
      <c r="G38" s="38"/>
      <c r="H38" s="42">
        <v>44490</v>
      </c>
      <c r="I38" s="43">
        <v>1850</v>
      </c>
      <c r="J38" s="38">
        <v>5</v>
      </c>
      <c r="K38" s="39">
        <v>0</v>
      </c>
      <c r="L38" s="54">
        <v>1850</v>
      </c>
      <c r="M38" s="39">
        <f>(I38-K38)/J38</f>
        <v>370</v>
      </c>
      <c r="N38" s="70">
        <f>I38-L38</f>
        <v>0</v>
      </c>
      <c r="O38" s="44" t="s">
        <v>110</v>
      </c>
      <c r="P38" s="40">
        <v>0</v>
      </c>
    </row>
    <row r="39" spans="1:16" x14ac:dyDescent="0.25">
      <c r="A39" s="34">
        <v>33</v>
      </c>
      <c r="B39" s="38" t="s">
        <v>56</v>
      </c>
      <c r="C39" s="38">
        <v>1</v>
      </c>
      <c r="D39" s="46" t="s">
        <v>9</v>
      </c>
      <c r="E39" s="46" t="s">
        <v>57</v>
      </c>
      <c r="F39" s="73"/>
      <c r="G39" s="73">
        <v>3854309</v>
      </c>
      <c r="H39" s="74">
        <v>44491</v>
      </c>
      <c r="I39" s="75">
        <v>13700</v>
      </c>
      <c r="J39" s="73">
        <v>10</v>
      </c>
      <c r="K39" s="70">
        <v>2740</v>
      </c>
      <c r="L39" s="76">
        <v>13700</v>
      </c>
      <c r="M39" s="70">
        <f>(I39-K39)/J39</f>
        <v>1096</v>
      </c>
      <c r="N39" s="70">
        <f>I39-L39</f>
        <v>0</v>
      </c>
      <c r="O39" s="44" t="s">
        <v>619</v>
      </c>
      <c r="P39" s="40">
        <v>0</v>
      </c>
    </row>
    <row r="40" spans="1:16" ht="30" x14ac:dyDescent="0.25">
      <c r="A40" s="34">
        <v>34</v>
      </c>
      <c r="B40" s="38" t="s">
        <v>36</v>
      </c>
      <c r="C40" s="38">
        <v>40</v>
      </c>
      <c r="D40" s="41" t="s">
        <v>10</v>
      </c>
      <c r="E40" s="41" t="s">
        <v>35</v>
      </c>
      <c r="F40" s="38"/>
      <c r="G40" s="38"/>
      <c r="H40" s="42">
        <v>44494</v>
      </c>
      <c r="I40" s="43">
        <v>18081.2</v>
      </c>
      <c r="J40" s="38">
        <v>7</v>
      </c>
      <c r="K40" s="39">
        <v>1808.1200000000001</v>
      </c>
      <c r="L40" s="54">
        <v>18081.2</v>
      </c>
      <c r="M40" s="39">
        <f>(I40-K40)/J40</f>
        <v>2324.7257142857143</v>
      </c>
      <c r="N40" s="70">
        <f>I40-L40</f>
        <v>0</v>
      </c>
      <c r="O40" s="44" t="s">
        <v>33</v>
      </c>
      <c r="P40" s="40">
        <v>0</v>
      </c>
    </row>
    <row r="41" spans="1:16" ht="30" x14ac:dyDescent="0.25">
      <c r="A41" s="34">
        <v>35</v>
      </c>
      <c r="B41" s="38" t="s">
        <v>34</v>
      </c>
      <c r="C41" s="38">
        <v>33</v>
      </c>
      <c r="D41" s="41" t="s">
        <v>10</v>
      </c>
      <c r="E41" s="41" t="s">
        <v>35</v>
      </c>
      <c r="F41" s="38"/>
      <c r="G41" s="38"/>
      <c r="H41" s="42">
        <v>44494</v>
      </c>
      <c r="I41" s="43">
        <v>8415</v>
      </c>
      <c r="J41" s="38">
        <v>7</v>
      </c>
      <c r="K41" s="39">
        <v>841.5</v>
      </c>
      <c r="L41" s="54">
        <v>8415</v>
      </c>
      <c r="M41" s="39">
        <f>(I41-K41)/J41</f>
        <v>1081.9285714285713</v>
      </c>
      <c r="N41" s="70">
        <f>I41-L41</f>
        <v>0</v>
      </c>
      <c r="O41" s="44" t="s">
        <v>33</v>
      </c>
      <c r="P41" s="40">
        <v>0</v>
      </c>
    </row>
    <row r="42" spans="1:16" ht="30" x14ac:dyDescent="0.25">
      <c r="A42" s="34">
        <v>36</v>
      </c>
      <c r="B42" s="38" t="s">
        <v>36</v>
      </c>
      <c r="C42" s="38">
        <v>10</v>
      </c>
      <c r="D42" s="41" t="s">
        <v>10</v>
      </c>
      <c r="E42" s="41" t="s">
        <v>35</v>
      </c>
      <c r="F42" s="38"/>
      <c r="G42" s="38"/>
      <c r="H42" s="42">
        <v>44494</v>
      </c>
      <c r="I42" s="43">
        <v>4520.3</v>
      </c>
      <c r="J42" s="38">
        <v>7</v>
      </c>
      <c r="K42" s="39">
        <v>452.03000000000003</v>
      </c>
      <c r="L42" s="54">
        <v>4520.3</v>
      </c>
      <c r="M42" s="39">
        <f>(I42-K42)/J42</f>
        <v>581.18142857142857</v>
      </c>
      <c r="N42" s="70">
        <f>I42-L42</f>
        <v>0</v>
      </c>
      <c r="O42" s="44" t="s">
        <v>33</v>
      </c>
      <c r="P42" s="40">
        <v>0</v>
      </c>
    </row>
    <row r="43" spans="1:16" x14ac:dyDescent="0.25">
      <c r="A43" s="34">
        <v>37</v>
      </c>
      <c r="B43" s="38" t="s">
        <v>42</v>
      </c>
      <c r="C43" s="38">
        <v>1</v>
      </c>
      <c r="D43" s="41" t="s">
        <v>11</v>
      </c>
      <c r="E43" s="41" t="s">
        <v>35</v>
      </c>
      <c r="F43" s="38"/>
      <c r="G43" s="38"/>
      <c r="H43" s="42">
        <v>44501</v>
      </c>
      <c r="I43" s="43">
        <v>10312.5</v>
      </c>
      <c r="J43" s="38">
        <v>3</v>
      </c>
      <c r="K43" s="39">
        <v>0</v>
      </c>
      <c r="L43" s="54">
        <f>M43*P43</f>
        <v>0</v>
      </c>
      <c r="M43" s="39">
        <f>(I43-K43)/J43</f>
        <v>3437.5</v>
      </c>
      <c r="N43" s="70">
        <v>0</v>
      </c>
      <c r="O43" s="44" t="s">
        <v>33</v>
      </c>
      <c r="P43" s="40">
        <v>0</v>
      </c>
    </row>
    <row r="44" spans="1:16" x14ac:dyDescent="0.25">
      <c r="A44" s="34">
        <v>38</v>
      </c>
      <c r="B44" s="38" t="s">
        <v>43</v>
      </c>
      <c r="C44" s="38">
        <v>1</v>
      </c>
      <c r="D44" s="41" t="s">
        <v>9</v>
      </c>
      <c r="E44" s="41" t="s">
        <v>35</v>
      </c>
      <c r="F44" s="38"/>
      <c r="G44" s="38"/>
      <c r="H44" s="42">
        <v>44501</v>
      </c>
      <c r="I44" s="43">
        <v>7500</v>
      </c>
      <c r="J44" s="38">
        <v>10</v>
      </c>
      <c r="K44" s="39">
        <v>750</v>
      </c>
      <c r="L44" s="54">
        <v>7500</v>
      </c>
      <c r="M44" s="39">
        <f>(I44-K44)/J44</f>
        <v>675</v>
      </c>
      <c r="N44" s="70">
        <f>I44-L44</f>
        <v>0</v>
      </c>
      <c r="O44" s="44" t="s">
        <v>33</v>
      </c>
      <c r="P44" s="40">
        <v>0</v>
      </c>
    </row>
    <row r="45" spans="1:16" x14ac:dyDescent="0.25">
      <c r="A45" s="34">
        <v>39</v>
      </c>
      <c r="B45" s="41" t="s">
        <v>127</v>
      </c>
      <c r="C45" s="38">
        <v>2</v>
      </c>
      <c r="D45" s="41" t="s">
        <v>11</v>
      </c>
      <c r="E45" s="41" t="s">
        <v>125</v>
      </c>
      <c r="F45" s="38"/>
      <c r="G45" s="38"/>
      <c r="H45" s="42">
        <v>44515</v>
      </c>
      <c r="I45" s="43">
        <v>3010</v>
      </c>
      <c r="J45" s="38">
        <v>5</v>
      </c>
      <c r="K45" s="39">
        <v>301</v>
      </c>
      <c r="L45" s="54">
        <v>3010</v>
      </c>
      <c r="M45" s="39">
        <f>(I45-K45)/J45</f>
        <v>541.79999999999995</v>
      </c>
      <c r="N45" s="70">
        <f>I45-L45</f>
        <v>0</v>
      </c>
      <c r="O45" s="44" t="s">
        <v>110</v>
      </c>
      <c r="P45" s="40">
        <v>0</v>
      </c>
    </row>
    <row r="46" spans="1:16" ht="30" x14ac:dyDescent="0.25">
      <c r="A46" s="34">
        <v>40</v>
      </c>
      <c r="B46" s="38" t="s">
        <v>36</v>
      </c>
      <c r="C46" s="38">
        <v>50</v>
      </c>
      <c r="D46" s="41" t="s">
        <v>10</v>
      </c>
      <c r="E46" s="41" t="s">
        <v>35</v>
      </c>
      <c r="F46" s="38"/>
      <c r="G46" s="38"/>
      <c r="H46" s="42">
        <v>44523</v>
      </c>
      <c r="I46" s="43">
        <v>22601.5</v>
      </c>
      <c r="J46" s="38">
        <v>7</v>
      </c>
      <c r="K46" s="39">
        <v>2260.15</v>
      </c>
      <c r="L46" s="54">
        <v>22601.5</v>
      </c>
      <c r="M46" s="39">
        <f>(I46-K46)/J46</f>
        <v>2905.9071428571428</v>
      </c>
      <c r="N46" s="70">
        <f>I46-L46</f>
        <v>0</v>
      </c>
      <c r="O46" s="44" t="s">
        <v>33</v>
      </c>
      <c r="P46" s="40">
        <v>0</v>
      </c>
    </row>
    <row r="47" spans="1:16" x14ac:dyDescent="0.25">
      <c r="A47" s="34">
        <v>41</v>
      </c>
      <c r="B47" s="41" t="s">
        <v>117</v>
      </c>
      <c r="C47" s="38">
        <v>1</v>
      </c>
      <c r="D47" s="41" t="s">
        <v>11</v>
      </c>
      <c r="E47" s="41" t="s">
        <v>112</v>
      </c>
      <c r="F47" s="38"/>
      <c r="G47" s="38"/>
      <c r="H47" s="42">
        <v>44523</v>
      </c>
      <c r="I47" s="43">
        <v>2020</v>
      </c>
      <c r="J47" s="38">
        <v>5</v>
      </c>
      <c r="K47" s="39">
        <v>0</v>
      </c>
      <c r="L47" s="54">
        <v>2020</v>
      </c>
      <c r="M47" s="39">
        <f>(I47-K47)/J47</f>
        <v>404</v>
      </c>
      <c r="N47" s="70">
        <f>I47-L47</f>
        <v>0</v>
      </c>
      <c r="O47" s="44" t="s">
        <v>110</v>
      </c>
      <c r="P47" s="40">
        <v>0</v>
      </c>
    </row>
    <row r="48" spans="1:16" s="57" customFormat="1" ht="30" x14ac:dyDescent="0.25">
      <c r="A48" s="78">
        <v>42</v>
      </c>
      <c r="B48" s="38" t="s">
        <v>36</v>
      </c>
      <c r="C48" s="38">
        <v>50</v>
      </c>
      <c r="D48" s="41" t="s">
        <v>10</v>
      </c>
      <c r="E48" s="41" t="s">
        <v>35</v>
      </c>
      <c r="F48" s="38"/>
      <c r="G48" s="38"/>
      <c r="H48" s="94">
        <v>44530</v>
      </c>
      <c r="I48" s="43">
        <v>22601.5</v>
      </c>
      <c r="J48" s="38">
        <v>7</v>
      </c>
      <c r="K48" s="39">
        <v>2260.15</v>
      </c>
      <c r="L48" s="54">
        <v>22601.5</v>
      </c>
      <c r="M48" s="39">
        <f>(I48-K48)/J48</f>
        <v>2905.9071428571428</v>
      </c>
      <c r="N48" s="70">
        <f>I48-L48</f>
        <v>0</v>
      </c>
      <c r="O48" s="44" t="s">
        <v>33</v>
      </c>
      <c r="P48" s="40">
        <v>0</v>
      </c>
    </row>
    <row r="49" spans="1:16" ht="30" x14ac:dyDescent="0.25">
      <c r="A49" s="34">
        <v>43</v>
      </c>
      <c r="B49" s="41" t="s">
        <v>109</v>
      </c>
      <c r="C49" s="38">
        <v>1</v>
      </c>
      <c r="D49" s="41" t="s">
        <v>11</v>
      </c>
      <c r="E49" s="41" t="s">
        <v>108</v>
      </c>
      <c r="F49" s="38"/>
      <c r="G49" s="38"/>
      <c r="H49" s="94">
        <v>44537</v>
      </c>
      <c r="I49" s="43">
        <v>1898</v>
      </c>
      <c r="J49" s="38">
        <v>5</v>
      </c>
      <c r="K49" s="39">
        <v>0</v>
      </c>
      <c r="L49" s="54">
        <v>1898</v>
      </c>
      <c r="M49" s="39">
        <f>(I49-K49)/J49</f>
        <v>379.6</v>
      </c>
      <c r="N49" s="70">
        <f>I49-L49</f>
        <v>0</v>
      </c>
      <c r="O49" s="55" t="s">
        <v>110</v>
      </c>
      <c r="P49" s="40">
        <v>0</v>
      </c>
    </row>
    <row r="50" spans="1:16" x14ac:dyDescent="0.25">
      <c r="A50" s="34">
        <v>44</v>
      </c>
      <c r="B50" s="38" t="s">
        <v>44</v>
      </c>
      <c r="C50" s="38">
        <v>1</v>
      </c>
      <c r="D50" s="41" t="s">
        <v>11</v>
      </c>
      <c r="E50" s="41" t="s">
        <v>35</v>
      </c>
      <c r="F50" s="38"/>
      <c r="G50" s="38"/>
      <c r="H50" s="42">
        <v>44550</v>
      </c>
      <c r="I50" s="43">
        <v>10312.5</v>
      </c>
      <c r="J50" s="38">
        <v>3</v>
      </c>
      <c r="K50" s="39">
        <v>0</v>
      </c>
      <c r="L50" s="54">
        <f>M50*P50</f>
        <v>0</v>
      </c>
      <c r="M50" s="39">
        <f>(I50-K50)/J50</f>
        <v>3437.5</v>
      </c>
      <c r="N50" s="70">
        <v>0</v>
      </c>
      <c r="O50" s="44" t="s">
        <v>33</v>
      </c>
      <c r="P50" s="40">
        <v>0</v>
      </c>
    </row>
    <row r="51" spans="1:16" x14ac:dyDescent="0.25">
      <c r="A51" s="34">
        <v>45</v>
      </c>
      <c r="B51" s="41" t="s">
        <v>191</v>
      </c>
      <c r="C51" s="38">
        <v>1</v>
      </c>
      <c r="D51" s="41" t="s">
        <v>8</v>
      </c>
      <c r="E51" s="41" t="s">
        <v>189</v>
      </c>
      <c r="F51" s="38"/>
      <c r="G51" s="38"/>
      <c r="H51" s="42">
        <v>44570</v>
      </c>
      <c r="I51" s="43">
        <v>1347</v>
      </c>
      <c r="J51" s="38">
        <v>3</v>
      </c>
      <c r="K51" s="39">
        <v>0</v>
      </c>
      <c r="L51" s="54">
        <f>M51*P51</f>
        <v>1347</v>
      </c>
      <c r="M51" s="39">
        <f>(I51-K51)/J51</f>
        <v>449</v>
      </c>
      <c r="N51" s="39">
        <f>I51-L51</f>
        <v>0</v>
      </c>
      <c r="O51" s="44"/>
      <c r="P51" s="56">
        <v>3</v>
      </c>
    </row>
    <row r="52" spans="1:16" x14ac:dyDescent="0.25">
      <c r="A52" s="34">
        <v>46</v>
      </c>
      <c r="B52" s="41" t="s">
        <v>192</v>
      </c>
      <c r="C52" s="38">
        <v>1</v>
      </c>
      <c r="D52" s="41" t="s">
        <v>11</v>
      </c>
      <c r="E52" s="41" t="s">
        <v>108</v>
      </c>
      <c r="F52" s="38"/>
      <c r="G52" s="38"/>
      <c r="H52" s="42">
        <v>44577</v>
      </c>
      <c r="I52" s="43">
        <v>769</v>
      </c>
      <c r="J52" s="38">
        <v>3</v>
      </c>
      <c r="K52" s="39">
        <v>0</v>
      </c>
      <c r="L52" s="54">
        <f>M52*P52</f>
        <v>769</v>
      </c>
      <c r="M52" s="39">
        <f>(I52-K52)/J52</f>
        <v>256.33333333333331</v>
      </c>
      <c r="N52" s="39">
        <f>I52-L52</f>
        <v>0</v>
      </c>
      <c r="O52" s="44"/>
      <c r="P52" s="56">
        <v>3</v>
      </c>
    </row>
    <row r="53" spans="1:16" x14ac:dyDescent="0.25">
      <c r="A53" s="34">
        <v>47</v>
      </c>
      <c r="B53" s="41" t="s">
        <v>193</v>
      </c>
      <c r="C53" s="38">
        <v>1</v>
      </c>
      <c r="D53" s="41" t="s">
        <v>11</v>
      </c>
      <c r="E53" s="41" t="s">
        <v>108</v>
      </c>
      <c r="F53" s="38"/>
      <c r="G53" s="38"/>
      <c r="H53" s="42">
        <v>44578</v>
      </c>
      <c r="I53" s="43">
        <v>989</v>
      </c>
      <c r="J53" s="38">
        <v>3</v>
      </c>
      <c r="K53" s="39">
        <v>0</v>
      </c>
      <c r="L53" s="54">
        <f>M53*P53</f>
        <v>989</v>
      </c>
      <c r="M53" s="39">
        <f>(I53-K53)/J53</f>
        <v>329.66666666666669</v>
      </c>
      <c r="N53" s="39">
        <f>I53-L53</f>
        <v>0</v>
      </c>
      <c r="O53" s="44"/>
      <c r="P53" s="56">
        <v>3</v>
      </c>
    </row>
    <row r="54" spans="1:16" x14ac:dyDescent="0.25">
      <c r="A54" s="34">
        <v>48</v>
      </c>
      <c r="B54" s="41" t="s">
        <v>65</v>
      </c>
      <c r="C54" s="38">
        <v>1</v>
      </c>
      <c r="D54" s="41" t="s">
        <v>7</v>
      </c>
      <c r="E54" s="41" t="s">
        <v>63</v>
      </c>
      <c r="F54" s="38">
        <v>0</v>
      </c>
      <c r="G54" s="38"/>
      <c r="H54" s="42">
        <v>44600</v>
      </c>
      <c r="I54" s="43">
        <v>4550</v>
      </c>
      <c r="J54" s="38">
        <v>5</v>
      </c>
      <c r="K54" s="39">
        <v>910</v>
      </c>
      <c r="L54" s="54">
        <v>4550</v>
      </c>
      <c r="M54" s="39">
        <f>(I54-K54)/J54</f>
        <v>728</v>
      </c>
      <c r="N54" s="70">
        <v>0</v>
      </c>
      <c r="O54" s="44" t="s">
        <v>33</v>
      </c>
      <c r="P54" s="40">
        <v>0</v>
      </c>
    </row>
    <row r="55" spans="1:16" x14ac:dyDescent="0.25">
      <c r="A55" s="34">
        <v>49</v>
      </c>
      <c r="B55" s="41" t="s">
        <v>74</v>
      </c>
      <c r="C55" s="38">
        <v>1</v>
      </c>
      <c r="D55" s="41" t="s">
        <v>11</v>
      </c>
      <c r="E55" s="41" t="s">
        <v>73</v>
      </c>
      <c r="F55" s="38"/>
      <c r="G55" s="38">
        <v>51840</v>
      </c>
      <c r="H55" s="42">
        <v>44602</v>
      </c>
      <c r="I55" s="43">
        <v>3533.38</v>
      </c>
      <c r="J55" s="38">
        <v>3</v>
      </c>
      <c r="K55" s="39">
        <v>0</v>
      </c>
      <c r="L55" s="54">
        <v>3533.38</v>
      </c>
      <c r="M55" s="39">
        <f>(I55-K55)/J55</f>
        <v>1177.7933333333333</v>
      </c>
      <c r="N55" s="70">
        <v>0</v>
      </c>
      <c r="O55" s="44" t="s">
        <v>33</v>
      </c>
      <c r="P55" s="40">
        <v>0</v>
      </c>
    </row>
    <row r="56" spans="1:16" x14ac:dyDescent="0.25">
      <c r="A56" s="34">
        <v>50</v>
      </c>
      <c r="B56" s="41" t="s">
        <v>200</v>
      </c>
      <c r="C56" s="38">
        <v>1</v>
      </c>
      <c r="D56" s="41" t="s">
        <v>11</v>
      </c>
      <c r="E56" s="41" t="s">
        <v>201</v>
      </c>
      <c r="F56" s="38"/>
      <c r="G56" s="38"/>
      <c r="H56" s="42">
        <v>44614</v>
      </c>
      <c r="I56" s="43">
        <v>810</v>
      </c>
      <c r="J56" s="38">
        <v>3</v>
      </c>
      <c r="K56" s="39">
        <v>0</v>
      </c>
      <c r="L56" s="54">
        <f>M56*P56</f>
        <v>810</v>
      </c>
      <c r="M56" s="39">
        <f>(I56-K56)/J56</f>
        <v>270</v>
      </c>
      <c r="N56" s="39">
        <f>I56-L56</f>
        <v>0</v>
      </c>
      <c r="O56" s="44"/>
      <c r="P56" s="56">
        <v>3</v>
      </c>
    </row>
    <row r="57" spans="1:16" x14ac:dyDescent="0.25">
      <c r="A57" s="34">
        <v>51</v>
      </c>
      <c r="B57" s="38" t="s">
        <v>45</v>
      </c>
      <c r="C57" s="38">
        <v>1</v>
      </c>
      <c r="D57" s="41" t="s">
        <v>9</v>
      </c>
      <c r="E57" s="41" t="s">
        <v>35</v>
      </c>
      <c r="F57" s="38"/>
      <c r="G57" s="38"/>
      <c r="H57" s="42">
        <v>44621</v>
      </c>
      <c r="I57" s="43">
        <v>6251.18</v>
      </c>
      <c r="J57" s="38">
        <v>10</v>
      </c>
      <c r="K57" s="39">
        <v>625.11800000000005</v>
      </c>
      <c r="L57" s="54">
        <f>M57*P57</f>
        <v>1687.8185999999998</v>
      </c>
      <c r="M57" s="39">
        <f>(I57-K57)/J57</f>
        <v>562.60619999999994</v>
      </c>
      <c r="N57" s="39">
        <f>I57-L57</f>
        <v>4563.3614000000007</v>
      </c>
      <c r="O57" s="44"/>
      <c r="P57" s="40">
        <v>3</v>
      </c>
    </row>
    <row r="58" spans="1:16" x14ac:dyDescent="0.25">
      <c r="A58" s="34">
        <v>52</v>
      </c>
      <c r="B58" s="41" t="s">
        <v>118</v>
      </c>
      <c r="C58" s="38">
        <v>1</v>
      </c>
      <c r="D58" s="41" t="s">
        <v>11</v>
      </c>
      <c r="E58" s="41" t="s">
        <v>112</v>
      </c>
      <c r="F58" s="38"/>
      <c r="G58" s="38"/>
      <c r="H58" s="42">
        <v>44623</v>
      </c>
      <c r="I58" s="43">
        <v>4168.1400000000003</v>
      </c>
      <c r="J58" s="38">
        <v>5</v>
      </c>
      <c r="K58" s="39">
        <v>0</v>
      </c>
      <c r="L58" s="54">
        <v>4168.1400000000003</v>
      </c>
      <c r="M58" s="39">
        <f>(I58-K58)/J58</f>
        <v>833.62800000000004</v>
      </c>
      <c r="N58" s="70">
        <f>I58-L58</f>
        <v>0</v>
      </c>
      <c r="O58" s="44" t="s">
        <v>110</v>
      </c>
      <c r="P58" s="40">
        <v>0</v>
      </c>
    </row>
    <row r="59" spans="1:16" x14ac:dyDescent="0.25">
      <c r="A59" s="34">
        <v>53</v>
      </c>
      <c r="B59" s="41" t="s">
        <v>118</v>
      </c>
      <c r="C59" s="38">
        <v>1</v>
      </c>
      <c r="D59" s="41" t="s">
        <v>11</v>
      </c>
      <c r="E59" s="41" t="s">
        <v>112</v>
      </c>
      <c r="F59" s="38"/>
      <c r="G59" s="38"/>
      <c r="H59" s="42">
        <v>44623</v>
      </c>
      <c r="I59" s="43">
        <v>4168.1400000000003</v>
      </c>
      <c r="J59" s="38">
        <v>5</v>
      </c>
      <c r="K59" s="39">
        <v>0</v>
      </c>
      <c r="L59" s="54">
        <v>4168.1400000000003</v>
      </c>
      <c r="M59" s="39">
        <f>(I59-K59)/J59</f>
        <v>833.62800000000004</v>
      </c>
      <c r="N59" s="70">
        <f>I59-L59</f>
        <v>0</v>
      </c>
      <c r="O59" s="44" t="s">
        <v>110</v>
      </c>
      <c r="P59" s="40">
        <v>0</v>
      </c>
    </row>
    <row r="60" spans="1:16" ht="30" x14ac:dyDescent="0.25">
      <c r="A60" s="34">
        <v>54</v>
      </c>
      <c r="B60" s="41" t="s">
        <v>96</v>
      </c>
      <c r="C60" s="38">
        <v>6</v>
      </c>
      <c r="D60" s="41" t="s">
        <v>10</v>
      </c>
      <c r="E60" s="41" t="s">
        <v>97</v>
      </c>
      <c r="F60" s="38"/>
      <c r="G60" s="38"/>
      <c r="H60" s="42">
        <v>44629</v>
      </c>
      <c r="I60" s="43">
        <v>29264.5</v>
      </c>
      <c r="J60" s="38">
        <v>10</v>
      </c>
      <c r="K60" s="39">
        <v>2926.4500000000003</v>
      </c>
      <c r="L60" s="54">
        <f>M60*P60</f>
        <v>7901.4149999999991</v>
      </c>
      <c r="M60" s="39">
        <f>(I60-K60)/J60</f>
        <v>2633.8049999999998</v>
      </c>
      <c r="N60" s="39">
        <f>I60-L60</f>
        <v>21363.084999999999</v>
      </c>
      <c r="O60" s="44" t="s">
        <v>99</v>
      </c>
      <c r="P60" s="40">
        <v>3</v>
      </c>
    </row>
    <row r="61" spans="1:16" ht="30" x14ac:dyDescent="0.25">
      <c r="A61" s="34">
        <v>55</v>
      </c>
      <c r="B61" s="38" t="s">
        <v>46</v>
      </c>
      <c r="C61" s="38">
        <v>10</v>
      </c>
      <c r="D61" s="41" t="s">
        <v>10</v>
      </c>
      <c r="E61" s="41" t="s">
        <v>35</v>
      </c>
      <c r="F61" s="38"/>
      <c r="G61" s="38"/>
      <c r="H61" s="42">
        <v>44650</v>
      </c>
      <c r="I61" s="43">
        <v>8180</v>
      </c>
      <c r="J61" s="38">
        <v>4</v>
      </c>
      <c r="K61" s="39">
        <v>818</v>
      </c>
      <c r="L61" s="54">
        <f>M61*P61</f>
        <v>5521.5</v>
      </c>
      <c r="M61" s="39">
        <f>(I61-K61)/J61</f>
        <v>1840.5</v>
      </c>
      <c r="N61" s="39">
        <f>I61-L61</f>
        <v>2658.5</v>
      </c>
      <c r="O61" s="44" t="s">
        <v>47</v>
      </c>
      <c r="P61" s="40">
        <v>3</v>
      </c>
    </row>
    <row r="62" spans="1:16" ht="30" x14ac:dyDescent="0.25">
      <c r="A62" s="34">
        <v>56</v>
      </c>
      <c r="B62" s="38" t="s">
        <v>48</v>
      </c>
      <c r="C62" s="38">
        <v>20</v>
      </c>
      <c r="D62" s="41" t="s">
        <v>10</v>
      </c>
      <c r="E62" s="41" t="s">
        <v>35</v>
      </c>
      <c r="F62" s="38"/>
      <c r="G62" s="38"/>
      <c r="H62" s="42">
        <v>44650</v>
      </c>
      <c r="I62" s="43">
        <v>17340</v>
      </c>
      <c r="J62" s="38">
        <v>4</v>
      </c>
      <c r="K62" s="39">
        <v>1734</v>
      </c>
      <c r="L62" s="54">
        <f>M62*P62</f>
        <v>11704.5</v>
      </c>
      <c r="M62" s="39">
        <f>(I62-K62)/J62</f>
        <v>3901.5</v>
      </c>
      <c r="N62" s="39">
        <f>I62-L62</f>
        <v>5635.5</v>
      </c>
      <c r="O62" s="44" t="s">
        <v>49</v>
      </c>
      <c r="P62" s="40">
        <v>3</v>
      </c>
    </row>
    <row r="63" spans="1:16" ht="30" x14ac:dyDescent="0.25">
      <c r="A63" s="34">
        <v>57</v>
      </c>
      <c r="B63" s="38" t="s">
        <v>50</v>
      </c>
      <c r="C63" s="38">
        <v>14</v>
      </c>
      <c r="D63" s="41" t="s">
        <v>10</v>
      </c>
      <c r="E63" s="41" t="s">
        <v>35</v>
      </c>
      <c r="F63" s="38"/>
      <c r="G63" s="38"/>
      <c r="H63" s="42">
        <v>44650</v>
      </c>
      <c r="I63" s="43">
        <v>15068.62</v>
      </c>
      <c r="J63" s="38">
        <v>4</v>
      </c>
      <c r="K63" s="39">
        <v>1506.8620000000001</v>
      </c>
      <c r="L63" s="54">
        <f>M63*P63</f>
        <v>10171.318500000001</v>
      </c>
      <c r="M63" s="39">
        <f>(I63-K63)/J63</f>
        <v>3390.4395000000004</v>
      </c>
      <c r="N63" s="39">
        <f>I63-L63</f>
        <v>4897.3014999999996</v>
      </c>
      <c r="O63" s="44" t="s">
        <v>51</v>
      </c>
      <c r="P63" s="40">
        <v>3</v>
      </c>
    </row>
    <row r="64" spans="1:16" ht="30" x14ac:dyDescent="0.25">
      <c r="A64" s="34">
        <v>58</v>
      </c>
      <c r="B64" s="38" t="s">
        <v>52</v>
      </c>
      <c r="C64" s="38">
        <v>4</v>
      </c>
      <c r="D64" s="41" t="s">
        <v>10</v>
      </c>
      <c r="E64" s="41" t="s">
        <v>35</v>
      </c>
      <c r="F64" s="38"/>
      <c r="G64" s="38"/>
      <c r="H64" s="42">
        <v>44650</v>
      </c>
      <c r="I64" s="43">
        <v>6303.24</v>
      </c>
      <c r="J64" s="38">
        <v>4</v>
      </c>
      <c r="K64" s="39">
        <v>630.32400000000007</v>
      </c>
      <c r="L64" s="54">
        <f>M64*P64</f>
        <v>4254.6869999999999</v>
      </c>
      <c r="M64" s="39">
        <f>(I64-K64)/J64</f>
        <v>1418.2289999999998</v>
      </c>
      <c r="N64" s="39">
        <f>I64-L64</f>
        <v>2048.5529999999999</v>
      </c>
      <c r="O64" s="44" t="s">
        <v>53</v>
      </c>
      <c r="P64" s="40">
        <v>3</v>
      </c>
    </row>
    <row r="65" spans="1:16" x14ac:dyDescent="0.25">
      <c r="A65" s="34">
        <v>59</v>
      </c>
      <c r="B65" s="41" t="s">
        <v>72</v>
      </c>
      <c r="C65" s="38">
        <v>1</v>
      </c>
      <c r="D65" s="41" t="s">
        <v>11</v>
      </c>
      <c r="E65" s="41" t="s">
        <v>73</v>
      </c>
      <c r="F65" s="38"/>
      <c r="G65" s="38">
        <v>17497</v>
      </c>
      <c r="H65" s="42">
        <v>44650</v>
      </c>
      <c r="I65" s="43">
        <v>5084.8</v>
      </c>
      <c r="J65" s="38">
        <v>3</v>
      </c>
      <c r="K65" s="39">
        <v>0</v>
      </c>
      <c r="L65" s="54">
        <v>5084.8</v>
      </c>
      <c r="M65" s="39">
        <f>(I65-K65)/J65</f>
        <v>1694.9333333333334</v>
      </c>
      <c r="N65" s="70">
        <v>0</v>
      </c>
      <c r="O65" s="44" t="s">
        <v>33</v>
      </c>
      <c r="P65" s="40">
        <v>0</v>
      </c>
    </row>
    <row r="66" spans="1:16" x14ac:dyDescent="0.25">
      <c r="A66" s="34">
        <v>60</v>
      </c>
      <c r="B66" s="41" t="s">
        <v>75</v>
      </c>
      <c r="C66" s="38">
        <v>1</v>
      </c>
      <c r="D66" s="41" t="s">
        <v>11</v>
      </c>
      <c r="E66" s="41" t="s">
        <v>73</v>
      </c>
      <c r="F66" s="38"/>
      <c r="G66" s="38">
        <v>10043</v>
      </c>
      <c r="H66" s="42">
        <v>44650</v>
      </c>
      <c r="I66" s="43">
        <v>2792.56</v>
      </c>
      <c r="J66" s="38">
        <v>10</v>
      </c>
      <c r="K66" s="39">
        <v>0</v>
      </c>
      <c r="L66" s="54">
        <v>2792.56</v>
      </c>
      <c r="M66" s="39">
        <f>(I66-K66)/J66</f>
        <v>279.25599999999997</v>
      </c>
      <c r="N66" s="70">
        <v>0</v>
      </c>
      <c r="O66" s="44" t="s">
        <v>33</v>
      </c>
      <c r="P66" s="40">
        <v>0</v>
      </c>
    </row>
    <row r="67" spans="1:16" ht="30" x14ac:dyDescent="0.25">
      <c r="A67" s="34">
        <v>61</v>
      </c>
      <c r="B67" s="38" t="s">
        <v>36</v>
      </c>
      <c r="C67" s="38">
        <v>100</v>
      </c>
      <c r="D67" s="41" t="s">
        <v>10</v>
      </c>
      <c r="E67" s="41" t="s">
        <v>35</v>
      </c>
      <c r="F67" s="38"/>
      <c r="G67" s="38"/>
      <c r="H67" s="42">
        <v>44651</v>
      </c>
      <c r="I67" s="43">
        <v>46500</v>
      </c>
      <c r="J67" s="38">
        <v>7</v>
      </c>
      <c r="K67" s="39">
        <v>4650</v>
      </c>
      <c r="L67" s="54">
        <f>M67*P67</f>
        <v>17935.714285714286</v>
      </c>
      <c r="M67" s="39">
        <f>(I67-K67)/J67</f>
        <v>5978.5714285714284</v>
      </c>
      <c r="N67" s="39">
        <f>I67-L67</f>
        <v>28564.285714285714</v>
      </c>
      <c r="O67" s="44" t="s">
        <v>54</v>
      </c>
      <c r="P67" s="40">
        <v>3</v>
      </c>
    </row>
    <row r="68" spans="1:16" ht="30" x14ac:dyDescent="0.25">
      <c r="A68" s="34">
        <v>62</v>
      </c>
      <c r="B68" s="41" t="s">
        <v>100</v>
      </c>
      <c r="C68" s="38">
        <v>2</v>
      </c>
      <c r="D68" s="41" t="s">
        <v>10</v>
      </c>
      <c r="E68" s="41" t="s">
        <v>101</v>
      </c>
      <c r="F68" s="38"/>
      <c r="G68" s="38"/>
      <c r="H68" s="42">
        <v>44665</v>
      </c>
      <c r="I68" s="43">
        <v>10970.46</v>
      </c>
      <c r="J68" s="38">
        <v>10</v>
      </c>
      <c r="K68" s="39">
        <v>1097.046</v>
      </c>
      <c r="L68" s="54">
        <f>M68*P68</f>
        <v>2962.0241999999998</v>
      </c>
      <c r="M68" s="39">
        <f>(I68-K68)/J68</f>
        <v>987.34139999999991</v>
      </c>
      <c r="N68" s="39">
        <f>I68-L68</f>
        <v>8008.4357999999993</v>
      </c>
      <c r="O68" s="44" t="s">
        <v>102</v>
      </c>
      <c r="P68" s="40">
        <v>3</v>
      </c>
    </row>
    <row r="69" spans="1:16" x14ac:dyDescent="0.25">
      <c r="A69" s="34">
        <v>63</v>
      </c>
      <c r="B69" s="41" t="s">
        <v>76</v>
      </c>
      <c r="C69" s="38">
        <v>1</v>
      </c>
      <c r="D69" s="41" t="s">
        <v>11</v>
      </c>
      <c r="E69" s="41" t="s">
        <v>73</v>
      </c>
      <c r="F69" s="38"/>
      <c r="G69" s="38">
        <v>146615</v>
      </c>
      <c r="H69" s="42">
        <v>44673</v>
      </c>
      <c r="I69" s="43">
        <v>2729.21</v>
      </c>
      <c r="J69" s="38">
        <v>3</v>
      </c>
      <c r="K69" s="39">
        <v>0</v>
      </c>
      <c r="L69" s="54">
        <v>2729.21</v>
      </c>
      <c r="M69" s="39">
        <f>(I69-K69)/J69</f>
        <v>909.73666666666668</v>
      </c>
      <c r="N69" s="70">
        <v>0</v>
      </c>
      <c r="O69" s="44" t="s">
        <v>33</v>
      </c>
      <c r="P69" s="40">
        <v>0</v>
      </c>
    </row>
    <row r="70" spans="1:16" x14ac:dyDescent="0.25">
      <c r="A70" s="34">
        <v>64</v>
      </c>
      <c r="B70" s="41" t="s">
        <v>107</v>
      </c>
      <c r="C70" s="38">
        <v>1</v>
      </c>
      <c r="D70" s="41" t="s">
        <v>11</v>
      </c>
      <c r="E70" s="41" t="s">
        <v>108</v>
      </c>
      <c r="F70" s="38"/>
      <c r="G70" s="38"/>
      <c r="H70" s="42">
        <v>44673</v>
      </c>
      <c r="I70" s="43">
        <v>1712</v>
      </c>
      <c r="J70" s="38">
        <v>3</v>
      </c>
      <c r="K70" s="39">
        <v>0</v>
      </c>
      <c r="L70" s="54">
        <v>1712</v>
      </c>
      <c r="M70" s="39">
        <f>(I70-K70)/J70</f>
        <v>570.66666666666663</v>
      </c>
      <c r="N70" s="70">
        <v>0</v>
      </c>
      <c r="O70" s="44" t="s">
        <v>33</v>
      </c>
      <c r="P70" s="40">
        <v>0</v>
      </c>
    </row>
    <row r="71" spans="1:16" ht="30" x14ac:dyDescent="0.25">
      <c r="A71" s="34">
        <v>65</v>
      </c>
      <c r="B71" s="41" t="s">
        <v>91</v>
      </c>
      <c r="C71" s="38">
        <v>1</v>
      </c>
      <c r="D71" s="41" t="s">
        <v>8</v>
      </c>
      <c r="E71" s="41" t="s">
        <v>92</v>
      </c>
      <c r="F71" s="38"/>
      <c r="G71" s="38"/>
      <c r="H71" s="42">
        <v>44692</v>
      </c>
      <c r="I71" s="43">
        <v>2461.81</v>
      </c>
      <c r="J71" s="38">
        <v>4</v>
      </c>
      <c r="K71" s="39">
        <v>0</v>
      </c>
      <c r="L71" s="54">
        <f>M71*P71</f>
        <v>2461.81</v>
      </c>
      <c r="M71" s="39">
        <f>(I71-K71)/J71</f>
        <v>615.45249999999999</v>
      </c>
      <c r="N71" s="39">
        <f>I71-L71</f>
        <v>0</v>
      </c>
      <c r="O71" s="44"/>
      <c r="P71" s="40">
        <v>4</v>
      </c>
    </row>
    <row r="72" spans="1:16" ht="30" x14ac:dyDescent="0.25">
      <c r="A72" s="34">
        <v>66</v>
      </c>
      <c r="B72" s="41" t="s">
        <v>93</v>
      </c>
      <c r="C72" s="38">
        <v>1</v>
      </c>
      <c r="D72" s="41" t="s">
        <v>8</v>
      </c>
      <c r="E72" s="41" t="s">
        <v>92</v>
      </c>
      <c r="F72" s="38"/>
      <c r="G72" s="38"/>
      <c r="H72" s="42">
        <v>44692</v>
      </c>
      <c r="I72" s="43">
        <v>1623.63</v>
      </c>
      <c r="J72" s="38">
        <v>4</v>
      </c>
      <c r="K72" s="39">
        <v>0</v>
      </c>
      <c r="L72" s="54">
        <f>M72*P72</f>
        <v>1623.63</v>
      </c>
      <c r="M72" s="39">
        <f>(I72-K72)/J72</f>
        <v>405.90750000000003</v>
      </c>
      <c r="N72" s="39">
        <f>I72-L72</f>
        <v>0</v>
      </c>
      <c r="O72" s="44"/>
      <c r="P72" s="40">
        <v>4</v>
      </c>
    </row>
    <row r="73" spans="1:16" ht="30" x14ac:dyDescent="0.25">
      <c r="A73" s="34">
        <v>67</v>
      </c>
      <c r="B73" s="38" t="s">
        <v>36</v>
      </c>
      <c r="C73" s="38">
        <v>100</v>
      </c>
      <c r="D73" s="41" t="s">
        <v>10</v>
      </c>
      <c r="E73" s="41" t="s">
        <v>35</v>
      </c>
      <c r="F73" s="38"/>
      <c r="G73" s="38"/>
      <c r="H73" s="42">
        <v>44697</v>
      </c>
      <c r="I73" s="43">
        <v>46500</v>
      </c>
      <c r="J73" s="38">
        <v>7</v>
      </c>
      <c r="K73" s="39">
        <v>4650</v>
      </c>
      <c r="L73" s="54">
        <f>M73*P73</f>
        <v>17935.714285714286</v>
      </c>
      <c r="M73" s="39">
        <f>(I73-K73)/J73</f>
        <v>5978.5714285714284</v>
      </c>
      <c r="N73" s="39">
        <f>I73-L73</f>
        <v>28564.285714285714</v>
      </c>
      <c r="O73" s="44" t="s">
        <v>54</v>
      </c>
      <c r="P73" s="40">
        <v>3</v>
      </c>
    </row>
    <row r="74" spans="1:16" ht="30" x14ac:dyDescent="0.25">
      <c r="A74" s="34">
        <v>68</v>
      </c>
      <c r="B74" s="41" t="s">
        <v>128</v>
      </c>
      <c r="C74" s="38">
        <v>1</v>
      </c>
      <c r="D74" s="41" t="s">
        <v>11</v>
      </c>
      <c r="E74" s="41" t="s">
        <v>125</v>
      </c>
      <c r="F74" s="38"/>
      <c r="G74" s="38"/>
      <c r="H74" s="42">
        <v>44699</v>
      </c>
      <c r="I74" s="43">
        <v>6628</v>
      </c>
      <c r="J74" s="38">
        <v>5</v>
      </c>
      <c r="K74" s="39">
        <v>662.8</v>
      </c>
      <c r="L74" s="54">
        <v>6628</v>
      </c>
      <c r="M74" s="39">
        <f>(I74-K74)/J74</f>
        <v>1193.04</v>
      </c>
      <c r="N74" s="70">
        <f>I74-L74</f>
        <v>0</v>
      </c>
      <c r="O74" s="44" t="s">
        <v>110</v>
      </c>
      <c r="P74" s="40">
        <v>0</v>
      </c>
    </row>
    <row r="75" spans="1:16" x14ac:dyDescent="0.25">
      <c r="A75" s="34">
        <v>69</v>
      </c>
      <c r="B75" s="41" t="s">
        <v>119</v>
      </c>
      <c r="C75" s="38">
        <v>1</v>
      </c>
      <c r="D75" s="41" t="s">
        <v>11</v>
      </c>
      <c r="E75" s="41" t="s">
        <v>112</v>
      </c>
      <c r="F75" s="38"/>
      <c r="G75" s="38"/>
      <c r="H75" s="42">
        <v>44707</v>
      </c>
      <c r="I75" s="43">
        <v>3790</v>
      </c>
      <c r="J75" s="38">
        <v>5</v>
      </c>
      <c r="K75" s="39">
        <v>0</v>
      </c>
      <c r="L75" s="54">
        <f>M75*P75</f>
        <v>3032</v>
      </c>
      <c r="M75" s="39">
        <f>(I75-K75)/J75</f>
        <v>758</v>
      </c>
      <c r="N75" s="39">
        <f>I75-L75</f>
        <v>758</v>
      </c>
      <c r="O75" s="44"/>
      <c r="P75" s="40">
        <v>4</v>
      </c>
    </row>
    <row r="76" spans="1:16" x14ac:dyDescent="0.25">
      <c r="A76" s="34">
        <v>70</v>
      </c>
      <c r="B76" s="41" t="s">
        <v>119</v>
      </c>
      <c r="C76" s="38">
        <v>1</v>
      </c>
      <c r="D76" s="41" t="s">
        <v>11</v>
      </c>
      <c r="E76" s="41" t="s">
        <v>112</v>
      </c>
      <c r="F76" s="38"/>
      <c r="G76" s="38"/>
      <c r="H76" s="42">
        <v>44707</v>
      </c>
      <c r="I76" s="43">
        <v>3790</v>
      </c>
      <c r="J76" s="38">
        <v>5</v>
      </c>
      <c r="K76" s="39">
        <v>0</v>
      </c>
      <c r="L76" s="54">
        <f>M76*P76</f>
        <v>3032</v>
      </c>
      <c r="M76" s="39">
        <f>(I76-K76)/J76</f>
        <v>758</v>
      </c>
      <c r="N76" s="39">
        <f>I76-L76</f>
        <v>758</v>
      </c>
      <c r="O76" s="44"/>
      <c r="P76" s="40">
        <v>4</v>
      </c>
    </row>
    <row r="77" spans="1:16" ht="30" x14ac:dyDescent="0.25">
      <c r="A77" s="34">
        <v>71</v>
      </c>
      <c r="B77" s="41" t="s">
        <v>58</v>
      </c>
      <c r="C77" s="38">
        <v>1</v>
      </c>
      <c r="D77" s="46" t="s">
        <v>9</v>
      </c>
      <c r="E77" s="46" t="s">
        <v>57</v>
      </c>
      <c r="F77" s="73"/>
      <c r="G77" s="73" t="s">
        <v>59</v>
      </c>
      <c r="H77" s="74">
        <v>44712</v>
      </c>
      <c r="I77" s="75">
        <v>9800</v>
      </c>
      <c r="J77" s="73">
        <v>10</v>
      </c>
      <c r="K77" s="70">
        <v>1960</v>
      </c>
      <c r="L77" s="76">
        <v>9800</v>
      </c>
      <c r="M77" s="70">
        <f>(I77-K77)/J77</f>
        <v>784</v>
      </c>
      <c r="N77" s="70">
        <f>I77-L77</f>
        <v>0</v>
      </c>
      <c r="O77" s="44" t="s">
        <v>620</v>
      </c>
      <c r="P77" s="40">
        <v>0</v>
      </c>
    </row>
    <row r="78" spans="1:16" x14ac:dyDescent="0.25">
      <c r="A78" s="34">
        <v>72</v>
      </c>
      <c r="B78" s="38" t="s">
        <v>55</v>
      </c>
      <c r="C78" s="38">
        <v>1</v>
      </c>
      <c r="D78" s="41" t="s">
        <v>11</v>
      </c>
      <c r="E78" s="41" t="s">
        <v>35</v>
      </c>
      <c r="F78" s="38"/>
      <c r="G78" s="38"/>
      <c r="H78" s="42">
        <v>44713</v>
      </c>
      <c r="I78" s="43">
        <v>10828.13</v>
      </c>
      <c r="J78" s="38">
        <v>3</v>
      </c>
      <c r="K78" s="39">
        <v>0</v>
      </c>
      <c r="L78" s="54">
        <v>10828.13</v>
      </c>
      <c r="M78" s="39">
        <f>(I78-K78)/J78</f>
        <v>3609.3766666666666</v>
      </c>
      <c r="N78" s="70">
        <f>I78-L78</f>
        <v>0</v>
      </c>
      <c r="O78" s="44" t="s">
        <v>33</v>
      </c>
      <c r="P78" s="40">
        <v>0</v>
      </c>
    </row>
    <row r="79" spans="1:16" x14ac:dyDescent="0.25">
      <c r="A79" s="34">
        <v>73</v>
      </c>
      <c r="B79" s="41" t="s">
        <v>66</v>
      </c>
      <c r="C79" s="38">
        <v>1</v>
      </c>
      <c r="D79" s="41" t="s">
        <v>7</v>
      </c>
      <c r="E79" s="41" t="s">
        <v>63</v>
      </c>
      <c r="F79" s="38"/>
      <c r="G79" s="38"/>
      <c r="H79" s="42">
        <v>44715</v>
      </c>
      <c r="I79" s="43">
        <v>8430</v>
      </c>
      <c r="J79" s="38">
        <v>5</v>
      </c>
      <c r="K79" s="39">
        <v>1686</v>
      </c>
      <c r="L79" s="54">
        <v>8430</v>
      </c>
      <c r="M79" s="39">
        <f>(I79-K79)/J79</f>
        <v>1348.8</v>
      </c>
      <c r="N79" s="70">
        <v>0</v>
      </c>
      <c r="O79" s="44" t="s">
        <v>33</v>
      </c>
      <c r="P79" s="40">
        <v>0</v>
      </c>
    </row>
    <row r="80" spans="1:16" x14ac:dyDescent="0.25">
      <c r="A80" s="34">
        <v>74</v>
      </c>
      <c r="B80" s="41" t="s">
        <v>66</v>
      </c>
      <c r="C80" s="38">
        <v>1</v>
      </c>
      <c r="D80" s="41" t="s">
        <v>7</v>
      </c>
      <c r="E80" s="41" t="s">
        <v>63</v>
      </c>
      <c r="F80" s="38"/>
      <c r="G80" s="38"/>
      <c r="H80" s="42">
        <v>44715</v>
      </c>
      <c r="I80" s="43">
        <v>8430</v>
      </c>
      <c r="J80" s="38">
        <v>5</v>
      </c>
      <c r="K80" s="39">
        <v>1686</v>
      </c>
      <c r="L80" s="54">
        <v>8430</v>
      </c>
      <c r="M80" s="39">
        <f>(I80-K80)/J80</f>
        <v>1348.8</v>
      </c>
      <c r="N80" s="70">
        <v>0</v>
      </c>
      <c r="O80" s="44" t="s">
        <v>33</v>
      </c>
      <c r="P80" s="40">
        <v>0</v>
      </c>
    </row>
    <row r="81" spans="1:16" x14ac:dyDescent="0.25">
      <c r="A81" s="34">
        <v>75</v>
      </c>
      <c r="B81" s="41" t="s">
        <v>67</v>
      </c>
      <c r="C81" s="38">
        <v>1</v>
      </c>
      <c r="D81" s="41" t="s">
        <v>7</v>
      </c>
      <c r="E81" s="41" t="s">
        <v>63</v>
      </c>
      <c r="F81" s="38"/>
      <c r="G81" s="38"/>
      <c r="H81" s="42">
        <v>44715</v>
      </c>
      <c r="I81" s="43">
        <v>4200</v>
      </c>
      <c r="J81" s="38">
        <v>5</v>
      </c>
      <c r="K81" s="39">
        <v>840</v>
      </c>
      <c r="L81" s="54">
        <v>4200</v>
      </c>
      <c r="M81" s="39">
        <f>(I81-K81)/J81</f>
        <v>672</v>
      </c>
      <c r="N81" s="70">
        <v>0</v>
      </c>
      <c r="O81" s="44" t="s">
        <v>33</v>
      </c>
      <c r="P81" s="40">
        <v>0</v>
      </c>
    </row>
    <row r="82" spans="1:16" x14ac:dyDescent="0.25">
      <c r="A82" s="34">
        <v>76</v>
      </c>
      <c r="B82" s="41" t="s">
        <v>145</v>
      </c>
      <c r="C82" s="38">
        <v>8</v>
      </c>
      <c r="D82" s="41" t="s">
        <v>12</v>
      </c>
      <c r="E82" s="41" t="s">
        <v>143</v>
      </c>
      <c r="F82" s="38"/>
      <c r="G82" s="38"/>
      <c r="H82" s="42">
        <v>44715</v>
      </c>
      <c r="I82" s="43">
        <v>8030</v>
      </c>
      <c r="J82" s="38">
        <v>10</v>
      </c>
      <c r="K82" s="39">
        <v>803</v>
      </c>
      <c r="L82" s="54">
        <f>M82*P82</f>
        <v>2890.8</v>
      </c>
      <c r="M82" s="39">
        <f>(I82-K82)/J82</f>
        <v>722.7</v>
      </c>
      <c r="N82" s="39">
        <f>I82-L82</f>
        <v>5139.2</v>
      </c>
      <c r="O82" s="44" t="s">
        <v>144</v>
      </c>
      <c r="P82" s="40">
        <v>4</v>
      </c>
    </row>
    <row r="83" spans="1:16" x14ac:dyDescent="0.25">
      <c r="A83" s="34">
        <v>77</v>
      </c>
      <c r="B83" s="41" t="s">
        <v>68</v>
      </c>
      <c r="C83" s="38">
        <v>1</v>
      </c>
      <c r="D83" s="41" t="s">
        <v>9</v>
      </c>
      <c r="E83" s="41" t="s">
        <v>69</v>
      </c>
      <c r="F83" s="38"/>
      <c r="G83" s="38"/>
      <c r="H83" s="42">
        <v>44725</v>
      </c>
      <c r="I83" s="43">
        <v>6500</v>
      </c>
      <c r="J83" s="38">
        <v>4</v>
      </c>
      <c r="K83" s="39">
        <v>650</v>
      </c>
      <c r="L83" s="54">
        <v>6500</v>
      </c>
      <c r="M83" s="39">
        <f>(I83-K83)/J83</f>
        <v>1462.5</v>
      </c>
      <c r="N83" s="70">
        <v>0</v>
      </c>
      <c r="O83" s="44" t="s">
        <v>33</v>
      </c>
      <c r="P83" s="40">
        <v>0</v>
      </c>
    </row>
    <row r="84" spans="1:16" x14ac:dyDescent="0.25">
      <c r="A84" s="34">
        <v>78</v>
      </c>
      <c r="B84" s="38" t="s">
        <v>44</v>
      </c>
      <c r="C84" s="38">
        <v>1</v>
      </c>
      <c r="D84" s="41" t="s">
        <v>11</v>
      </c>
      <c r="E84" s="41" t="s">
        <v>35</v>
      </c>
      <c r="F84" s="38"/>
      <c r="G84" s="38"/>
      <c r="H84" s="42">
        <v>44726</v>
      </c>
      <c r="I84" s="43">
        <v>10312.5</v>
      </c>
      <c r="J84" s="38">
        <v>3</v>
      </c>
      <c r="K84" s="39">
        <v>0</v>
      </c>
      <c r="L84" s="54">
        <v>10312.5</v>
      </c>
      <c r="M84" s="39">
        <f>(I84-K84)/J84</f>
        <v>3437.5</v>
      </c>
      <c r="N84" s="70">
        <f>I84-L84</f>
        <v>0</v>
      </c>
      <c r="O84" s="44" t="s">
        <v>33</v>
      </c>
      <c r="P84" s="40">
        <v>0</v>
      </c>
    </row>
    <row r="85" spans="1:16" x14ac:dyDescent="0.25">
      <c r="A85" s="34">
        <v>79</v>
      </c>
      <c r="B85" s="41" t="s">
        <v>95</v>
      </c>
      <c r="C85" s="38">
        <v>1</v>
      </c>
      <c r="D85" s="41" t="s">
        <v>8</v>
      </c>
      <c r="E85" s="41" t="s">
        <v>92</v>
      </c>
      <c r="F85" s="38"/>
      <c r="G85" s="38"/>
      <c r="H85" s="42">
        <v>44727</v>
      </c>
      <c r="I85" s="43">
        <v>1298.18</v>
      </c>
      <c r="J85" s="38">
        <v>4</v>
      </c>
      <c r="K85" s="39">
        <v>0</v>
      </c>
      <c r="L85" s="54">
        <f>M85*P85</f>
        <v>973.63499999999999</v>
      </c>
      <c r="M85" s="39">
        <f>(I85-K85)/J85</f>
        <v>324.54500000000002</v>
      </c>
      <c r="N85" s="39">
        <f>I85-L85</f>
        <v>324.54500000000007</v>
      </c>
      <c r="O85" s="44"/>
      <c r="P85" s="40">
        <v>3</v>
      </c>
    </row>
    <row r="86" spans="1:16" x14ac:dyDescent="0.25">
      <c r="A86" s="34">
        <v>80</v>
      </c>
      <c r="B86" s="41" t="s">
        <v>120</v>
      </c>
      <c r="C86" s="38">
        <v>1</v>
      </c>
      <c r="D86" s="41" t="s">
        <v>11</v>
      </c>
      <c r="E86" s="41" t="s">
        <v>112</v>
      </c>
      <c r="F86" s="38"/>
      <c r="G86" s="38"/>
      <c r="H86" s="42">
        <v>44728</v>
      </c>
      <c r="I86" s="43">
        <v>1498.92</v>
      </c>
      <c r="J86" s="38">
        <v>5</v>
      </c>
      <c r="K86" s="39">
        <v>0</v>
      </c>
      <c r="L86" s="54">
        <f>M86*P86</f>
        <v>1199.136</v>
      </c>
      <c r="M86" s="39">
        <f>(I86-K86)/J86</f>
        <v>299.78399999999999</v>
      </c>
      <c r="N86" s="39">
        <f>I86-L86</f>
        <v>299.78400000000011</v>
      </c>
      <c r="O86" s="44"/>
      <c r="P86" s="40">
        <v>4</v>
      </c>
    </row>
    <row r="87" spans="1:16" ht="30" x14ac:dyDescent="0.25">
      <c r="A87" s="34">
        <v>81</v>
      </c>
      <c r="B87" s="41" t="s">
        <v>105</v>
      </c>
      <c r="C87" s="38">
        <v>8</v>
      </c>
      <c r="D87" s="41" t="s">
        <v>10</v>
      </c>
      <c r="E87" s="41" t="s">
        <v>101</v>
      </c>
      <c r="F87" s="38"/>
      <c r="G87" s="38"/>
      <c r="H87" s="42">
        <v>44734</v>
      </c>
      <c r="I87" s="43">
        <v>18041.52</v>
      </c>
      <c r="J87" s="38">
        <v>10</v>
      </c>
      <c r="K87" s="39">
        <v>1804.152</v>
      </c>
      <c r="L87" s="54">
        <f>M87*P87</f>
        <v>4871.2103999999999</v>
      </c>
      <c r="M87" s="39">
        <f>(I87-K87)/J87</f>
        <v>1623.7368000000001</v>
      </c>
      <c r="N87" s="39">
        <f>I87-L87</f>
        <v>13170.309600000001</v>
      </c>
      <c r="O87" s="44" t="s">
        <v>106</v>
      </c>
      <c r="P87" s="40">
        <v>3</v>
      </c>
    </row>
    <row r="88" spans="1:16" x14ac:dyDescent="0.25">
      <c r="A88" s="34">
        <v>82</v>
      </c>
      <c r="B88" s="41" t="s">
        <v>241</v>
      </c>
      <c r="C88" s="38">
        <v>2</v>
      </c>
      <c r="D88" s="41" t="s">
        <v>8</v>
      </c>
      <c r="E88" s="41" t="s">
        <v>92</v>
      </c>
      <c r="F88" s="38"/>
      <c r="G88" s="38"/>
      <c r="H88" s="42">
        <v>44734</v>
      </c>
      <c r="I88" s="43">
        <v>3634.54</v>
      </c>
      <c r="J88" s="38">
        <v>4</v>
      </c>
      <c r="K88" s="39">
        <v>0</v>
      </c>
      <c r="L88" s="54">
        <f>M88*P88</f>
        <v>2725.9049999999997</v>
      </c>
      <c r="M88" s="39">
        <f>(I88-K88)/J88</f>
        <v>908.63499999999999</v>
      </c>
      <c r="N88" s="39">
        <f>I88-L88</f>
        <v>908.63500000000022</v>
      </c>
      <c r="O88" s="44" t="s">
        <v>225</v>
      </c>
      <c r="P88" s="56">
        <v>3</v>
      </c>
    </row>
    <row r="89" spans="1:16" ht="30" x14ac:dyDescent="0.25">
      <c r="A89" s="34">
        <v>83</v>
      </c>
      <c r="B89" s="38" t="s">
        <v>30</v>
      </c>
      <c r="C89" s="38">
        <v>6</v>
      </c>
      <c r="D89" s="38" t="s">
        <v>11</v>
      </c>
      <c r="E89" s="41" t="s">
        <v>31</v>
      </c>
      <c r="F89" s="38"/>
      <c r="G89" s="41" t="s">
        <v>32</v>
      </c>
      <c r="H89" s="42">
        <v>44735</v>
      </c>
      <c r="I89" s="43">
        <v>3514.8</v>
      </c>
      <c r="J89" s="38">
        <v>5</v>
      </c>
      <c r="K89" s="39">
        <v>0</v>
      </c>
      <c r="L89" s="54">
        <v>3514.8</v>
      </c>
      <c r="M89" s="39">
        <f>(I89-K89)/J89</f>
        <v>702.96</v>
      </c>
      <c r="N89" s="70">
        <f>I89-L89</f>
        <v>0</v>
      </c>
      <c r="O89" s="44" t="s">
        <v>33</v>
      </c>
      <c r="P89" s="40">
        <v>0</v>
      </c>
    </row>
    <row r="90" spans="1:16" x14ac:dyDescent="0.25">
      <c r="A90" s="34">
        <v>84</v>
      </c>
      <c r="B90" s="41" t="s">
        <v>142</v>
      </c>
      <c r="C90" s="38">
        <v>10</v>
      </c>
      <c r="D90" s="41" t="s">
        <v>12</v>
      </c>
      <c r="E90" s="41" t="s">
        <v>143</v>
      </c>
      <c r="F90" s="38"/>
      <c r="G90" s="38"/>
      <c r="H90" s="42">
        <v>44742</v>
      </c>
      <c r="I90" s="43">
        <v>93358.22</v>
      </c>
      <c r="J90" s="38">
        <v>10</v>
      </c>
      <c r="K90" s="39">
        <v>9335.82</v>
      </c>
      <c r="L90" s="54">
        <f>M90*P90</f>
        <v>33608.959999999999</v>
      </c>
      <c r="M90" s="39">
        <f>(I90-K90)/J90</f>
        <v>8402.24</v>
      </c>
      <c r="N90" s="39">
        <f>I90-L90</f>
        <v>59749.26</v>
      </c>
      <c r="O90" s="44" t="s">
        <v>144</v>
      </c>
      <c r="P90" s="40">
        <v>4</v>
      </c>
    </row>
    <row r="91" spans="1:16" x14ac:dyDescent="0.25">
      <c r="A91" s="34">
        <v>85</v>
      </c>
      <c r="B91" s="41" t="s">
        <v>148</v>
      </c>
      <c r="C91" s="38">
        <v>1</v>
      </c>
      <c r="D91" s="41" t="s">
        <v>11</v>
      </c>
      <c r="E91" s="41" t="s">
        <v>149</v>
      </c>
      <c r="F91" s="38"/>
      <c r="G91" s="38"/>
      <c r="H91" s="42">
        <v>44760</v>
      </c>
      <c r="I91" s="43">
        <v>2549</v>
      </c>
      <c r="J91" s="38">
        <v>5</v>
      </c>
      <c r="K91" s="39">
        <v>0</v>
      </c>
      <c r="L91" s="54">
        <f>M91*P91</f>
        <v>1529.4</v>
      </c>
      <c r="M91" s="39">
        <f>(I91-K91)/J91</f>
        <v>509.8</v>
      </c>
      <c r="N91" s="39">
        <f>I91-L91</f>
        <v>1019.5999999999999</v>
      </c>
      <c r="O91" s="44"/>
      <c r="P91" s="56">
        <v>3</v>
      </c>
    </row>
    <row r="92" spans="1:16" x14ac:dyDescent="0.25">
      <c r="A92" s="34">
        <v>86</v>
      </c>
      <c r="B92" s="41" t="s">
        <v>138</v>
      </c>
      <c r="C92" s="38">
        <v>4</v>
      </c>
      <c r="D92" s="41" t="s">
        <v>11</v>
      </c>
      <c r="E92" s="41" t="s">
        <v>135</v>
      </c>
      <c r="F92" s="38"/>
      <c r="G92" s="38"/>
      <c r="H92" s="42">
        <v>44761</v>
      </c>
      <c r="I92" s="43">
        <v>2320</v>
      </c>
      <c r="J92" s="38">
        <v>5</v>
      </c>
      <c r="K92" s="39">
        <v>232</v>
      </c>
      <c r="L92" s="54">
        <f>M92*P92</f>
        <v>1252.8000000000002</v>
      </c>
      <c r="M92" s="39">
        <f>(I92-K92)/J92</f>
        <v>417.6</v>
      </c>
      <c r="N92" s="39">
        <f>I92-L92</f>
        <v>1067.1999999999998</v>
      </c>
      <c r="O92" s="44" t="s">
        <v>139</v>
      </c>
      <c r="P92" s="56">
        <v>3</v>
      </c>
    </row>
    <row r="93" spans="1:16" x14ac:dyDescent="0.25">
      <c r="A93" s="34">
        <v>87</v>
      </c>
      <c r="B93" s="41" t="s">
        <v>140</v>
      </c>
      <c r="C93" s="38">
        <v>4</v>
      </c>
      <c r="D93" s="41" t="s">
        <v>11</v>
      </c>
      <c r="E93" s="41" t="s">
        <v>135</v>
      </c>
      <c r="F93" s="38"/>
      <c r="G93" s="38"/>
      <c r="H93" s="42">
        <v>44761</v>
      </c>
      <c r="I93" s="43">
        <v>4200</v>
      </c>
      <c r="J93" s="38">
        <v>5</v>
      </c>
      <c r="K93" s="39">
        <v>420</v>
      </c>
      <c r="L93" s="54">
        <f>M93*P93</f>
        <v>2268</v>
      </c>
      <c r="M93" s="39">
        <f>(I93-K93)/J93</f>
        <v>756</v>
      </c>
      <c r="N93" s="39">
        <f>I93-L93</f>
        <v>1932</v>
      </c>
      <c r="O93" s="44" t="s">
        <v>141</v>
      </c>
      <c r="P93" s="56">
        <v>3</v>
      </c>
    </row>
    <row r="94" spans="1:16" ht="30" x14ac:dyDescent="0.25">
      <c r="A94" s="34">
        <v>88</v>
      </c>
      <c r="B94" s="41" t="s">
        <v>129</v>
      </c>
      <c r="C94" s="38">
        <v>1</v>
      </c>
      <c r="D94" s="41" t="s">
        <v>11</v>
      </c>
      <c r="E94" s="41" t="s">
        <v>125</v>
      </c>
      <c r="F94" s="38"/>
      <c r="G94" s="38"/>
      <c r="H94" s="42">
        <v>44764</v>
      </c>
      <c r="I94" s="43">
        <v>795</v>
      </c>
      <c r="J94" s="38">
        <v>5</v>
      </c>
      <c r="K94" s="39">
        <v>79.5</v>
      </c>
      <c r="L94" s="54">
        <f>M94*P94</f>
        <v>429.29999999999995</v>
      </c>
      <c r="M94" s="39">
        <f>(I94-K94)/J94</f>
        <v>143.1</v>
      </c>
      <c r="N94" s="39">
        <f>I94-L94</f>
        <v>365.70000000000005</v>
      </c>
      <c r="O94" s="44"/>
      <c r="P94" s="40">
        <v>3</v>
      </c>
    </row>
    <row r="95" spans="1:16" x14ac:dyDescent="0.25">
      <c r="A95" s="34">
        <v>89</v>
      </c>
      <c r="B95" s="46" t="s">
        <v>77</v>
      </c>
      <c r="C95" s="73">
        <v>1</v>
      </c>
      <c r="D95" s="46" t="s">
        <v>9</v>
      </c>
      <c r="E95" s="46" t="s">
        <v>78</v>
      </c>
      <c r="F95" s="73"/>
      <c r="G95" s="73" t="s">
        <v>79</v>
      </c>
      <c r="H95" s="74">
        <v>44767</v>
      </c>
      <c r="I95" s="75">
        <v>25000</v>
      </c>
      <c r="J95" s="73">
        <v>3</v>
      </c>
      <c r="K95" s="70">
        <v>0</v>
      </c>
      <c r="L95" s="76">
        <f>M95*P95</f>
        <v>0</v>
      </c>
      <c r="M95" s="70">
        <f>(I95-K95)/J95</f>
        <v>8333.3333333333339</v>
      </c>
      <c r="N95" s="70">
        <v>0</v>
      </c>
      <c r="O95" s="79" t="s">
        <v>80</v>
      </c>
      <c r="P95" s="40">
        <v>0</v>
      </c>
    </row>
    <row r="96" spans="1:16" x14ac:dyDescent="0.25">
      <c r="A96" s="34">
        <v>90</v>
      </c>
      <c r="B96" s="41" t="s">
        <v>87</v>
      </c>
      <c r="C96" s="38">
        <v>1</v>
      </c>
      <c r="D96" s="41" t="s">
        <v>9</v>
      </c>
      <c r="E96" s="41" t="s">
        <v>88</v>
      </c>
      <c r="F96" s="38"/>
      <c r="G96" s="38"/>
      <c r="H96" s="42">
        <v>44771</v>
      </c>
      <c r="I96" s="43">
        <v>5320</v>
      </c>
      <c r="J96" s="38">
        <v>7</v>
      </c>
      <c r="K96" s="39">
        <v>2000</v>
      </c>
      <c r="L96" s="54">
        <f>M96*P96</f>
        <v>1422.8571428571429</v>
      </c>
      <c r="M96" s="39">
        <f>(I96-K96)/J96</f>
        <v>474.28571428571428</v>
      </c>
      <c r="N96" s="39">
        <f>I96-L96</f>
        <v>3897.1428571428569</v>
      </c>
      <c r="O96" s="44"/>
      <c r="P96" s="56">
        <v>3</v>
      </c>
    </row>
    <row r="97" spans="1:16" ht="30" x14ac:dyDescent="0.25">
      <c r="A97" s="34">
        <v>91</v>
      </c>
      <c r="B97" s="41" t="s">
        <v>130</v>
      </c>
      <c r="C97" s="38">
        <v>2</v>
      </c>
      <c r="D97" s="41" t="s">
        <v>11</v>
      </c>
      <c r="E97" s="41" t="s">
        <v>125</v>
      </c>
      <c r="F97" s="38"/>
      <c r="G97" s="38"/>
      <c r="H97" s="42">
        <v>44771</v>
      </c>
      <c r="I97" s="43">
        <v>2050</v>
      </c>
      <c r="J97" s="38">
        <v>5</v>
      </c>
      <c r="K97" s="39">
        <v>205</v>
      </c>
      <c r="L97" s="54">
        <f>M97*P97</f>
        <v>1107</v>
      </c>
      <c r="M97" s="39">
        <f>(I97-K97)/J97</f>
        <v>369</v>
      </c>
      <c r="N97" s="39">
        <f>I97-L97</f>
        <v>943</v>
      </c>
      <c r="O97" s="44" t="s">
        <v>131</v>
      </c>
      <c r="P97" s="40">
        <v>3</v>
      </c>
    </row>
    <row r="98" spans="1:16" ht="30" x14ac:dyDescent="0.25">
      <c r="A98" s="34">
        <v>92</v>
      </c>
      <c r="B98" s="41" t="s">
        <v>132</v>
      </c>
      <c r="C98" s="38">
        <v>2</v>
      </c>
      <c r="D98" s="41" t="s">
        <v>11</v>
      </c>
      <c r="E98" s="41" t="s">
        <v>125</v>
      </c>
      <c r="F98" s="38"/>
      <c r="G98" s="38"/>
      <c r="H98" s="42">
        <v>44771</v>
      </c>
      <c r="I98" s="43">
        <v>4780</v>
      </c>
      <c r="J98" s="38">
        <v>5</v>
      </c>
      <c r="K98" s="39">
        <v>478</v>
      </c>
      <c r="L98" s="54">
        <f>M98*P98</f>
        <v>2581.1999999999998</v>
      </c>
      <c r="M98" s="39">
        <f>(I98-K98)/J98</f>
        <v>860.4</v>
      </c>
      <c r="N98" s="39">
        <f>I98-L98</f>
        <v>2198.8000000000002</v>
      </c>
      <c r="O98" s="44" t="s">
        <v>133</v>
      </c>
      <c r="P98" s="40">
        <v>3</v>
      </c>
    </row>
    <row r="99" spans="1:16" ht="30" x14ac:dyDescent="0.25">
      <c r="A99" s="34">
        <v>93</v>
      </c>
      <c r="B99" s="41" t="s">
        <v>103</v>
      </c>
      <c r="C99" s="38">
        <v>4</v>
      </c>
      <c r="D99" s="41" t="s">
        <v>10</v>
      </c>
      <c r="E99" s="41" t="s">
        <v>101</v>
      </c>
      <c r="F99" s="38"/>
      <c r="G99" s="38"/>
      <c r="H99" s="42">
        <v>44775</v>
      </c>
      <c r="I99" s="43">
        <v>21624</v>
      </c>
      <c r="J99" s="38">
        <v>10</v>
      </c>
      <c r="K99" s="39">
        <v>2162.4</v>
      </c>
      <c r="L99" s="54">
        <f>M99*P99</f>
        <v>5838.48</v>
      </c>
      <c r="M99" s="39">
        <f>(I99-K99)/J99</f>
        <v>1946.1599999999999</v>
      </c>
      <c r="N99" s="39">
        <f>I99-L99</f>
        <v>15785.52</v>
      </c>
      <c r="O99" s="44" t="s">
        <v>104</v>
      </c>
      <c r="P99" s="40">
        <v>3</v>
      </c>
    </row>
    <row r="100" spans="1:16" ht="30" x14ac:dyDescent="0.25">
      <c r="A100" s="34">
        <v>94</v>
      </c>
      <c r="B100" s="41" t="s">
        <v>103</v>
      </c>
      <c r="C100" s="38">
        <v>2</v>
      </c>
      <c r="D100" s="41" t="s">
        <v>10</v>
      </c>
      <c r="E100" s="41" t="s">
        <v>101</v>
      </c>
      <c r="F100" s="38"/>
      <c r="G100" s="38"/>
      <c r="H100" s="42">
        <v>44777</v>
      </c>
      <c r="I100" s="43">
        <v>10812</v>
      </c>
      <c r="J100" s="38">
        <v>10</v>
      </c>
      <c r="K100" s="39">
        <v>1081.2</v>
      </c>
      <c r="L100" s="54">
        <f>M100*P100</f>
        <v>2919.24</v>
      </c>
      <c r="M100" s="39">
        <f>(I100-K100)/J100</f>
        <v>973.07999999999993</v>
      </c>
      <c r="N100" s="39">
        <f>I100-L100</f>
        <v>7892.76</v>
      </c>
      <c r="O100" s="44" t="s">
        <v>104</v>
      </c>
      <c r="P100" s="40">
        <v>3</v>
      </c>
    </row>
    <row r="101" spans="1:16" ht="30" x14ac:dyDescent="0.25">
      <c r="A101" s="34">
        <v>95</v>
      </c>
      <c r="B101" s="41" t="s">
        <v>89</v>
      </c>
      <c r="C101" s="38">
        <v>1</v>
      </c>
      <c r="D101" s="41" t="s">
        <v>7</v>
      </c>
      <c r="E101" s="41" t="s">
        <v>90</v>
      </c>
      <c r="F101" s="38"/>
      <c r="G101" s="38"/>
      <c r="H101" s="42">
        <v>44781</v>
      </c>
      <c r="I101" s="43">
        <v>25034</v>
      </c>
      <c r="J101" s="38">
        <v>5</v>
      </c>
      <c r="K101" s="39">
        <v>5006.8</v>
      </c>
      <c r="L101" s="54">
        <v>25034</v>
      </c>
      <c r="M101" s="39">
        <f>(I101-K101)/J101</f>
        <v>4005.44</v>
      </c>
      <c r="N101" s="70">
        <f>I101-L101</f>
        <v>0</v>
      </c>
      <c r="O101" s="44" t="s">
        <v>33</v>
      </c>
      <c r="P101" s="40">
        <v>0</v>
      </c>
    </row>
    <row r="102" spans="1:16" ht="30" x14ac:dyDescent="0.25">
      <c r="A102" s="34">
        <v>96</v>
      </c>
      <c r="B102" s="41" t="s">
        <v>96</v>
      </c>
      <c r="C102" s="38">
        <v>4</v>
      </c>
      <c r="D102" s="41" t="s">
        <v>10</v>
      </c>
      <c r="E102" s="41" t="s">
        <v>97</v>
      </c>
      <c r="F102" s="38"/>
      <c r="G102" s="38"/>
      <c r="H102" s="42">
        <v>44791</v>
      </c>
      <c r="I102" s="43">
        <v>19714.57</v>
      </c>
      <c r="J102" s="38">
        <v>10</v>
      </c>
      <c r="K102" s="39">
        <v>1971.45</v>
      </c>
      <c r="L102" s="54">
        <f>M102*P102</f>
        <v>5322.9359999999997</v>
      </c>
      <c r="M102" s="39">
        <f>(I102-K102)/J102</f>
        <v>1774.3119999999999</v>
      </c>
      <c r="N102" s="39">
        <f>I102-L102</f>
        <v>14391.634</v>
      </c>
      <c r="O102" s="44" t="s">
        <v>146</v>
      </c>
      <c r="P102" s="56">
        <v>3</v>
      </c>
    </row>
    <row r="103" spans="1:16" x14ac:dyDescent="0.25">
      <c r="A103" s="34">
        <v>97</v>
      </c>
      <c r="B103" s="41" t="s">
        <v>154</v>
      </c>
      <c r="C103" s="38">
        <v>1</v>
      </c>
      <c r="D103" s="41" t="s">
        <v>11</v>
      </c>
      <c r="E103" s="41" t="s">
        <v>112</v>
      </c>
      <c r="F103" s="38"/>
      <c r="G103" s="38"/>
      <c r="H103" s="42">
        <v>44793</v>
      </c>
      <c r="I103" s="43">
        <v>1908</v>
      </c>
      <c r="J103" s="38">
        <v>5</v>
      </c>
      <c r="K103" s="39">
        <v>0</v>
      </c>
      <c r="L103" s="54">
        <f>M103*P103</f>
        <v>1144.8000000000002</v>
      </c>
      <c r="M103" s="39">
        <f>(I103-K103)/J103</f>
        <v>381.6</v>
      </c>
      <c r="N103" s="39">
        <f>I103-L103</f>
        <v>763.19999999999982</v>
      </c>
      <c r="O103" s="44"/>
      <c r="P103" s="56">
        <v>3</v>
      </c>
    </row>
    <row r="104" spans="1:16" x14ac:dyDescent="0.25">
      <c r="A104" s="34">
        <v>98</v>
      </c>
      <c r="B104" s="41" t="s">
        <v>147</v>
      </c>
      <c r="C104" s="38">
        <v>1</v>
      </c>
      <c r="D104" s="41" t="s">
        <v>11</v>
      </c>
      <c r="E104" s="41" t="s">
        <v>71</v>
      </c>
      <c r="F104" s="38"/>
      <c r="G104" s="38"/>
      <c r="H104" s="42">
        <v>44796</v>
      </c>
      <c r="I104" s="43">
        <v>3818.18</v>
      </c>
      <c r="J104" s="38">
        <v>3</v>
      </c>
      <c r="K104" s="39">
        <v>0</v>
      </c>
      <c r="L104" s="54">
        <f>M104*P104</f>
        <v>3818.1800000000003</v>
      </c>
      <c r="M104" s="39">
        <f>(I104-K104)/J104</f>
        <v>1272.7266666666667</v>
      </c>
      <c r="N104" s="39">
        <f>I104-L104</f>
        <v>0</v>
      </c>
      <c r="O104" s="44"/>
      <c r="P104" s="56">
        <v>3</v>
      </c>
    </row>
    <row r="105" spans="1:16" x14ac:dyDescent="0.25">
      <c r="A105" s="34">
        <v>99</v>
      </c>
      <c r="B105" s="41" t="s">
        <v>150</v>
      </c>
      <c r="C105" s="38">
        <v>2</v>
      </c>
      <c r="D105" s="41" t="s">
        <v>11</v>
      </c>
      <c r="E105" s="41" t="s">
        <v>112</v>
      </c>
      <c r="F105" s="38"/>
      <c r="G105" s="38"/>
      <c r="H105" s="42">
        <v>44798</v>
      </c>
      <c r="I105" s="43">
        <v>6243.4</v>
      </c>
      <c r="J105" s="38">
        <v>5</v>
      </c>
      <c r="K105" s="39">
        <v>0</v>
      </c>
      <c r="L105" s="54">
        <f>M105*P105</f>
        <v>3746.0399999999995</v>
      </c>
      <c r="M105" s="39">
        <f>(I105-K105)/J105</f>
        <v>1248.6799999999998</v>
      </c>
      <c r="N105" s="39">
        <f>I105-L105</f>
        <v>2497.36</v>
      </c>
      <c r="O105" s="47" t="s">
        <v>151</v>
      </c>
      <c r="P105" s="56">
        <v>3</v>
      </c>
    </row>
    <row r="106" spans="1:16" x14ac:dyDescent="0.25">
      <c r="A106" s="34">
        <v>100</v>
      </c>
      <c r="B106" s="41" t="s">
        <v>152</v>
      </c>
      <c r="C106" s="38">
        <v>1</v>
      </c>
      <c r="D106" s="41" t="s">
        <v>11</v>
      </c>
      <c r="E106" s="41" t="s">
        <v>112</v>
      </c>
      <c r="F106" s="38"/>
      <c r="G106" s="38"/>
      <c r="H106" s="42">
        <v>44798</v>
      </c>
      <c r="I106" s="43">
        <v>1715.7</v>
      </c>
      <c r="J106" s="38">
        <v>5</v>
      </c>
      <c r="K106" s="39">
        <v>0</v>
      </c>
      <c r="L106" s="54">
        <f>M106*P106</f>
        <v>1029.42</v>
      </c>
      <c r="M106" s="39">
        <f>(I106-K106)/J106</f>
        <v>343.14</v>
      </c>
      <c r="N106" s="39">
        <f>I106-L106</f>
        <v>686.28</v>
      </c>
      <c r="O106" s="44"/>
      <c r="P106" s="56">
        <v>3</v>
      </c>
    </row>
    <row r="107" spans="1:16" x14ac:dyDescent="0.25">
      <c r="A107" s="34">
        <v>101</v>
      </c>
      <c r="B107" s="41" t="s">
        <v>153</v>
      </c>
      <c r="C107" s="38">
        <v>1</v>
      </c>
      <c r="D107" s="41" t="s">
        <v>11</v>
      </c>
      <c r="E107" s="41" t="s">
        <v>112</v>
      </c>
      <c r="F107" s="38"/>
      <c r="G107" s="38"/>
      <c r="H107" s="42">
        <v>44798</v>
      </c>
      <c r="I107" s="43">
        <v>1808</v>
      </c>
      <c r="J107" s="38">
        <v>5</v>
      </c>
      <c r="K107" s="39">
        <v>0</v>
      </c>
      <c r="L107" s="54">
        <f>M107*P107</f>
        <v>1084.8000000000002</v>
      </c>
      <c r="M107" s="39">
        <f>(I107-K107)/J107</f>
        <v>361.6</v>
      </c>
      <c r="N107" s="39">
        <f>I107-L107</f>
        <v>723.19999999999982</v>
      </c>
      <c r="O107" s="44"/>
      <c r="P107" s="56">
        <v>3</v>
      </c>
    </row>
    <row r="108" spans="1:16" x14ac:dyDescent="0.25">
      <c r="A108" s="34">
        <v>102</v>
      </c>
      <c r="B108" s="41" t="s">
        <v>155</v>
      </c>
      <c r="C108" s="38">
        <v>1</v>
      </c>
      <c r="D108" s="41" t="s">
        <v>11</v>
      </c>
      <c r="E108" s="41" t="s">
        <v>108</v>
      </c>
      <c r="F108" s="38"/>
      <c r="G108" s="38"/>
      <c r="H108" s="42">
        <v>44804</v>
      </c>
      <c r="I108" s="43">
        <v>1289</v>
      </c>
      <c r="J108" s="38">
        <v>3</v>
      </c>
      <c r="K108" s="39">
        <v>0</v>
      </c>
      <c r="L108" s="54">
        <f>M108*P108</f>
        <v>1289</v>
      </c>
      <c r="M108" s="39">
        <f>(I108-K108)/J108</f>
        <v>429.66666666666669</v>
      </c>
      <c r="N108" s="39">
        <f>I108-L108</f>
        <v>0</v>
      </c>
      <c r="O108" s="44"/>
      <c r="P108" s="56">
        <v>3</v>
      </c>
    </row>
    <row r="109" spans="1:16" ht="45" x14ac:dyDescent="0.25">
      <c r="A109" s="34">
        <v>103</v>
      </c>
      <c r="B109" s="41" t="s">
        <v>156</v>
      </c>
      <c r="C109" s="38">
        <v>2</v>
      </c>
      <c r="D109" s="41" t="s">
        <v>11</v>
      </c>
      <c r="E109" s="41" t="s">
        <v>125</v>
      </c>
      <c r="F109" s="38"/>
      <c r="G109" s="38"/>
      <c r="H109" s="42">
        <v>44804</v>
      </c>
      <c r="I109" s="43">
        <v>5050</v>
      </c>
      <c r="J109" s="38">
        <v>5</v>
      </c>
      <c r="K109" s="39">
        <v>505</v>
      </c>
      <c r="L109" s="54">
        <f>M109*P109</f>
        <v>2727</v>
      </c>
      <c r="M109" s="39">
        <f>(I109-K109)/J109</f>
        <v>909</v>
      </c>
      <c r="N109" s="39">
        <f>I109-L109</f>
        <v>2323</v>
      </c>
      <c r="O109" s="47" t="s">
        <v>157</v>
      </c>
      <c r="P109" s="56">
        <v>3</v>
      </c>
    </row>
    <row r="110" spans="1:16" ht="30" x14ac:dyDescent="0.25">
      <c r="A110" s="34">
        <v>104</v>
      </c>
      <c r="B110" s="41" t="s">
        <v>158</v>
      </c>
      <c r="C110" s="38">
        <v>1</v>
      </c>
      <c r="D110" s="41" t="s">
        <v>11</v>
      </c>
      <c r="E110" s="41" t="s">
        <v>125</v>
      </c>
      <c r="F110" s="38"/>
      <c r="G110" s="38"/>
      <c r="H110" s="42">
        <v>44804</v>
      </c>
      <c r="I110" s="43">
        <v>6875</v>
      </c>
      <c r="J110" s="38">
        <v>5</v>
      </c>
      <c r="K110" s="39">
        <v>687.5</v>
      </c>
      <c r="L110" s="54">
        <f>M110*P110</f>
        <v>3712.5</v>
      </c>
      <c r="M110" s="39">
        <f>(I110-K110)/J110</f>
        <v>1237.5</v>
      </c>
      <c r="N110" s="39">
        <f>I110-L110</f>
        <v>3162.5</v>
      </c>
      <c r="O110" s="44"/>
      <c r="P110" s="56">
        <v>3</v>
      </c>
    </row>
    <row r="111" spans="1:16" x14ac:dyDescent="0.25">
      <c r="A111" s="34">
        <v>105</v>
      </c>
      <c r="B111" s="41" t="s">
        <v>138</v>
      </c>
      <c r="C111" s="38">
        <v>4</v>
      </c>
      <c r="D111" s="41" t="s">
        <v>11</v>
      </c>
      <c r="E111" s="41" t="s">
        <v>135</v>
      </c>
      <c r="F111" s="38"/>
      <c r="G111" s="38"/>
      <c r="H111" s="42">
        <v>44805</v>
      </c>
      <c r="I111" s="43">
        <v>2320</v>
      </c>
      <c r="J111" s="38">
        <v>5</v>
      </c>
      <c r="K111" s="39">
        <v>232</v>
      </c>
      <c r="L111" s="54">
        <f>M111*P111</f>
        <v>1252.8000000000002</v>
      </c>
      <c r="M111" s="39">
        <f>(I111-K111)/J111</f>
        <v>417.6</v>
      </c>
      <c r="N111" s="39">
        <f>I111-L111</f>
        <v>1067.1999999999998</v>
      </c>
      <c r="O111" s="44" t="s">
        <v>139</v>
      </c>
      <c r="P111" s="56">
        <v>3</v>
      </c>
    </row>
    <row r="112" spans="1:16" ht="30" x14ac:dyDescent="0.25">
      <c r="A112" s="34">
        <v>106</v>
      </c>
      <c r="B112" s="41" t="s">
        <v>48</v>
      </c>
      <c r="C112" s="38">
        <v>20</v>
      </c>
      <c r="D112" s="41" t="s">
        <v>10</v>
      </c>
      <c r="E112" s="41" t="s">
        <v>35</v>
      </c>
      <c r="F112" s="38"/>
      <c r="G112" s="38"/>
      <c r="H112" s="42">
        <v>44805</v>
      </c>
      <c r="I112" s="43">
        <v>17340</v>
      </c>
      <c r="J112" s="38">
        <v>4</v>
      </c>
      <c r="K112" s="39">
        <v>1734</v>
      </c>
      <c r="L112" s="54">
        <f>M112*P112</f>
        <v>11704.5</v>
      </c>
      <c r="M112" s="39">
        <f>(I112-K112)/J112</f>
        <v>3901.5</v>
      </c>
      <c r="N112" s="39">
        <f>I112-L112</f>
        <v>5635.5</v>
      </c>
      <c r="O112" s="44" t="s">
        <v>49</v>
      </c>
      <c r="P112" s="56">
        <v>3</v>
      </c>
    </row>
    <row r="113" spans="1:16" ht="30" x14ac:dyDescent="0.25">
      <c r="A113" s="34">
        <v>107</v>
      </c>
      <c r="B113" s="41" t="s">
        <v>50</v>
      </c>
      <c r="C113" s="38">
        <v>20</v>
      </c>
      <c r="D113" s="41" t="s">
        <v>10</v>
      </c>
      <c r="E113" s="41" t="s">
        <v>35</v>
      </c>
      <c r="F113" s="38"/>
      <c r="G113" s="38"/>
      <c r="H113" s="42">
        <v>44805</v>
      </c>
      <c r="I113" s="43">
        <v>19179.599999999999</v>
      </c>
      <c r="J113" s="38">
        <v>4</v>
      </c>
      <c r="K113" s="39">
        <v>1917.96</v>
      </c>
      <c r="L113" s="54">
        <f>M113*P113</f>
        <v>12946.23</v>
      </c>
      <c r="M113" s="39">
        <f>(I113-K113)/J113</f>
        <v>4315.41</v>
      </c>
      <c r="N113" s="39">
        <f>I113-L113</f>
        <v>6233.369999999999</v>
      </c>
      <c r="O113" s="44" t="s">
        <v>166</v>
      </c>
      <c r="P113" s="56">
        <v>3</v>
      </c>
    </row>
    <row r="114" spans="1:16" ht="30" x14ac:dyDescent="0.25">
      <c r="A114" s="34">
        <v>108</v>
      </c>
      <c r="B114" s="41" t="s">
        <v>52</v>
      </c>
      <c r="C114" s="38">
        <v>10</v>
      </c>
      <c r="D114" s="41" t="s">
        <v>10</v>
      </c>
      <c r="E114" s="41" t="s">
        <v>35</v>
      </c>
      <c r="F114" s="38"/>
      <c r="G114" s="38"/>
      <c r="H114" s="42">
        <v>44805</v>
      </c>
      <c r="I114" s="43">
        <v>14391.2</v>
      </c>
      <c r="J114" s="38">
        <v>4</v>
      </c>
      <c r="K114" s="39">
        <v>1439.12</v>
      </c>
      <c r="L114" s="54">
        <f>M114*P114</f>
        <v>9714.0600000000013</v>
      </c>
      <c r="M114" s="39">
        <f>(I114-K114)/J114</f>
        <v>3238.0200000000004</v>
      </c>
      <c r="N114" s="39">
        <f>I114-L114</f>
        <v>4677.1399999999994</v>
      </c>
      <c r="O114" s="44" t="s">
        <v>167</v>
      </c>
      <c r="P114" s="56">
        <v>3</v>
      </c>
    </row>
    <row r="115" spans="1:16" x14ac:dyDescent="0.25">
      <c r="A115" s="34">
        <v>109</v>
      </c>
      <c r="B115" s="41" t="s">
        <v>174</v>
      </c>
      <c r="C115" s="38">
        <v>2</v>
      </c>
      <c r="D115" s="41" t="s">
        <v>11</v>
      </c>
      <c r="E115" s="41" t="s">
        <v>35</v>
      </c>
      <c r="F115" s="38"/>
      <c r="G115" s="38"/>
      <c r="H115" s="42">
        <v>44805</v>
      </c>
      <c r="I115" s="43">
        <v>20625</v>
      </c>
      <c r="J115" s="38">
        <v>3</v>
      </c>
      <c r="K115" s="39">
        <v>0</v>
      </c>
      <c r="L115" s="54">
        <v>20625</v>
      </c>
      <c r="M115" s="39">
        <f>(I115-K115)/J115</f>
        <v>6875</v>
      </c>
      <c r="N115" s="70">
        <v>0</v>
      </c>
      <c r="O115" s="44" t="s">
        <v>33</v>
      </c>
      <c r="P115" s="56">
        <v>3</v>
      </c>
    </row>
    <row r="116" spans="1:16" ht="30" x14ac:dyDescent="0.25">
      <c r="A116" s="34">
        <v>110</v>
      </c>
      <c r="B116" s="41" t="s">
        <v>36</v>
      </c>
      <c r="C116" s="38">
        <v>55</v>
      </c>
      <c r="D116" s="41" t="s">
        <v>10</v>
      </c>
      <c r="E116" s="41" t="s">
        <v>35</v>
      </c>
      <c r="F116" s="38"/>
      <c r="G116" s="38"/>
      <c r="H116" s="42">
        <v>44806</v>
      </c>
      <c r="I116" s="43">
        <v>25575</v>
      </c>
      <c r="J116" s="38">
        <v>7</v>
      </c>
      <c r="K116" s="39">
        <v>2557.5</v>
      </c>
      <c r="L116" s="54">
        <f>M116*P116</f>
        <v>9864.6428571428569</v>
      </c>
      <c r="M116" s="39">
        <f>(I116-K116)/J116</f>
        <v>3288.2142857142858</v>
      </c>
      <c r="N116" s="39">
        <f>I116-L116</f>
        <v>15710.357142857143</v>
      </c>
      <c r="O116" s="44" t="s">
        <v>54</v>
      </c>
      <c r="P116" s="56">
        <v>3</v>
      </c>
    </row>
    <row r="117" spans="1:16" x14ac:dyDescent="0.25">
      <c r="A117" s="34">
        <v>111</v>
      </c>
      <c r="B117" s="41" t="s">
        <v>175</v>
      </c>
      <c r="C117" s="38">
        <v>1</v>
      </c>
      <c r="D117" s="41" t="s">
        <v>11</v>
      </c>
      <c r="E117" s="41" t="s">
        <v>35</v>
      </c>
      <c r="F117" s="38"/>
      <c r="G117" s="38"/>
      <c r="H117" s="42">
        <v>44806</v>
      </c>
      <c r="I117" s="43">
        <v>8616</v>
      </c>
      <c r="J117" s="38">
        <v>5</v>
      </c>
      <c r="K117" s="39">
        <v>0</v>
      </c>
      <c r="L117" s="54">
        <f>M117*P117</f>
        <v>5169.6000000000004</v>
      </c>
      <c r="M117" s="39">
        <f>(I117-K117)/J117</f>
        <v>1723.2</v>
      </c>
      <c r="N117" s="39">
        <f>I117-L117</f>
        <v>3446.3999999999996</v>
      </c>
      <c r="O117" s="96"/>
      <c r="P117" s="56">
        <v>3</v>
      </c>
    </row>
    <row r="118" spans="1:16" x14ac:dyDescent="0.25">
      <c r="A118" s="34">
        <v>112</v>
      </c>
      <c r="B118" s="41" t="s">
        <v>159</v>
      </c>
      <c r="C118" s="38">
        <v>1</v>
      </c>
      <c r="D118" s="41" t="s">
        <v>11</v>
      </c>
      <c r="E118" s="41" t="s">
        <v>108</v>
      </c>
      <c r="F118" s="38"/>
      <c r="G118" s="38"/>
      <c r="H118" s="42">
        <v>44809</v>
      </c>
      <c r="I118" s="43">
        <v>1749</v>
      </c>
      <c r="J118" s="38">
        <v>5</v>
      </c>
      <c r="K118" s="39">
        <v>174.9</v>
      </c>
      <c r="L118" s="54">
        <f>M118*P118</f>
        <v>944.46</v>
      </c>
      <c r="M118" s="39">
        <f>(I118-K118)/J118</f>
        <v>314.82</v>
      </c>
      <c r="N118" s="39">
        <f>I118-L118</f>
        <v>804.54</v>
      </c>
      <c r="O118" s="44"/>
      <c r="P118" s="56">
        <v>3</v>
      </c>
    </row>
    <row r="119" spans="1:16" x14ac:dyDescent="0.25">
      <c r="A119" s="34">
        <v>113</v>
      </c>
      <c r="B119" s="41" t="s">
        <v>164</v>
      </c>
      <c r="C119" s="38">
        <v>1</v>
      </c>
      <c r="D119" s="41" t="s">
        <v>11</v>
      </c>
      <c r="E119" s="41" t="s">
        <v>112</v>
      </c>
      <c r="F119" s="38"/>
      <c r="G119" s="38"/>
      <c r="H119" s="42">
        <v>44811</v>
      </c>
      <c r="I119" s="43">
        <v>750</v>
      </c>
      <c r="J119" s="38">
        <v>5</v>
      </c>
      <c r="K119" s="39">
        <v>0</v>
      </c>
      <c r="L119" s="54">
        <f>M119*P119</f>
        <v>450</v>
      </c>
      <c r="M119" s="39">
        <f>(I119-K119)/J119</f>
        <v>150</v>
      </c>
      <c r="N119" s="39">
        <f>I119-L119</f>
        <v>300</v>
      </c>
      <c r="O119" s="44"/>
      <c r="P119" s="56">
        <v>3</v>
      </c>
    </row>
    <row r="120" spans="1:16" x14ac:dyDescent="0.25">
      <c r="A120" s="34">
        <v>114</v>
      </c>
      <c r="B120" s="41" t="s">
        <v>160</v>
      </c>
      <c r="C120" s="38">
        <v>1</v>
      </c>
      <c r="D120" s="41" t="s">
        <v>11</v>
      </c>
      <c r="E120" s="41" t="s">
        <v>73</v>
      </c>
      <c r="F120" s="38"/>
      <c r="G120" s="38">
        <v>56075</v>
      </c>
      <c r="H120" s="42">
        <v>44812</v>
      </c>
      <c r="I120" s="43">
        <v>2087.75</v>
      </c>
      <c r="J120" s="38">
        <v>3</v>
      </c>
      <c r="K120" s="39">
        <v>0</v>
      </c>
      <c r="L120" s="54">
        <f>M120*P120</f>
        <v>2087.75</v>
      </c>
      <c r="M120" s="39">
        <f>(I120-K120)/J120</f>
        <v>695.91666666666663</v>
      </c>
      <c r="N120" s="39">
        <f>I120-L120</f>
        <v>0</v>
      </c>
      <c r="O120" s="44"/>
      <c r="P120" s="56">
        <v>3</v>
      </c>
    </row>
    <row r="121" spans="1:16" ht="30" x14ac:dyDescent="0.25">
      <c r="A121" s="34">
        <v>115</v>
      </c>
      <c r="B121" s="41" t="s">
        <v>36</v>
      </c>
      <c r="C121" s="38">
        <v>86</v>
      </c>
      <c r="D121" s="41" t="s">
        <v>10</v>
      </c>
      <c r="E121" s="41" t="s">
        <v>35</v>
      </c>
      <c r="F121" s="38"/>
      <c r="G121" s="38"/>
      <c r="H121" s="42">
        <v>44813</v>
      </c>
      <c r="I121" s="43">
        <v>39990</v>
      </c>
      <c r="J121" s="38">
        <v>7</v>
      </c>
      <c r="K121" s="39">
        <v>3999</v>
      </c>
      <c r="L121" s="54">
        <f>M121*P121</f>
        <v>15424.714285714286</v>
      </c>
      <c r="M121" s="39">
        <f>(I121-K121)/J121</f>
        <v>5141.5714285714284</v>
      </c>
      <c r="N121" s="39">
        <f>I121-L121</f>
        <v>24565.285714285714</v>
      </c>
      <c r="O121" s="44" t="s">
        <v>54</v>
      </c>
      <c r="P121" s="56">
        <v>3</v>
      </c>
    </row>
    <row r="122" spans="1:16" x14ac:dyDescent="0.25">
      <c r="A122" s="34">
        <v>116</v>
      </c>
      <c r="B122" s="41" t="s">
        <v>161</v>
      </c>
      <c r="C122" s="38">
        <v>1</v>
      </c>
      <c r="D122" s="41" t="s">
        <v>8</v>
      </c>
      <c r="E122" s="41" t="s">
        <v>92</v>
      </c>
      <c r="F122" s="38"/>
      <c r="G122" s="38"/>
      <c r="H122" s="42">
        <v>44823</v>
      </c>
      <c r="I122" s="43">
        <v>2418.1799999999998</v>
      </c>
      <c r="J122" s="38">
        <v>4</v>
      </c>
      <c r="K122" s="39">
        <v>0</v>
      </c>
      <c r="L122" s="54">
        <f>M122*P122</f>
        <v>1813.6349999999998</v>
      </c>
      <c r="M122" s="39">
        <f>(I122-K122)/J122</f>
        <v>604.54499999999996</v>
      </c>
      <c r="N122" s="39">
        <f>I122-L122</f>
        <v>604.54500000000007</v>
      </c>
      <c r="O122" s="44"/>
      <c r="P122" s="56">
        <v>3</v>
      </c>
    </row>
    <row r="123" spans="1:16" x14ac:dyDescent="0.25">
      <c r="A123" s="34">
        <v>117</v>
      </c>
      <c r="B123" s="41" t="s">
        <v>163</v>
      </c>
      <c r="C123" s="38">
        <v>1</v>
      </c>
      <c r="D123" s="41" t="s">
        <v>11</v>
      </c>
      <c r="E123" s="41" t="s">
        <v>73</v>
      </c>
      <c r="F123" s="38"/>
      <c r="G123" s="38">
        <v>51839</v>
      </c>
      <c r="H123" s="42">
        <v>44823</v>
      </c>
      <c r="I123" s="43">
        <v>4313.55</v>
      </c>
      <c r="J123" s="38">
        <v>3</v>
      </c>
      <c r="K123" s="39">
        <v>0</v>
      </c>
      <c r="L123" s="54">
        <f>M123*P123</f>
        <v>4313.55</v>
      </c>
      <c r="M123" s="39">
        <f>(I123-K123)/J123</f>
        <v>1437.8500000000001</v>
      </c>
      <c r="N123" s="39">
        <f>I123-L123</f>
        <v>0</v>
      </c>
      <c r="O123" s="44"/>
      <c r="P123" s="56">
        <v>3</v>
      </c>
    </row>
    <row r="124" spans="1:16" x14ac:dyDescent="0.25">
      <c r="A124" s="34">
        <v>118</v>
      </c>
      <c r="B124" s="41" t="s">
        <v>162</v>
      </c>
      <c r="C124" s="38">
        <v>1</v>
      </c>
      <c r="D124" s="41" t="s">
        <v>11</v>
      </c>
      <c r="E124" s="41" t="s">
        <v>108</v>
      </c>
      <c r="F124" s="38"/>
      <c r="G124" s="38"/>
      <c r="H124" s="42">
        <v>44824</v>
      </c>
      <c r="I124" s="43">
        <v>905</v>
      </c>
      <c r="J124" s="38">
        <v>3</v>
      </c>
      <c r="K124" s="39">
        <v>0</v>
      </c>
      <c r="L124" s="54">
        <f>M124*P124</f>
        <v>905</v>
      </c>
      <c r="M124" s="39">
        <f>(I124-K124)/J124</f>
        <v>301.66666666666669</v>
      </c>
      <c r="N124" s="39">
        <f>I124-L124</f>
        <v>0</v>
      </c>
      <c r="O124" s="44"/>
      <c r="P124" s="56">
        <v>3</v>
      </c>
    </row>
    <row r="125" spans="1:16" x14ac:dyDescent="0.25">
      <c r="A125" s="34">
        <v>119</v>
      </c>
      <c r="B125" s="41" t="s">
        <v>165</v>
      </c>
      <c r="C125" s="38">
        <v>1</v>
      </c>
      <c r="D125" s="41" t="s">
        <v>11</v>
      </c>
      <c r="E125" s="41" t="s">
        <v>108</v>
      </c>
      <c r="F125" s="38"/>
      <c r="G125" s="38"/>
      <c r="H125" s="42">
        <v>44832</v>
      </c>
      <c r="I125" s="43">
        <v>1289</v>
      </c>
      <c r="J125" s="38">
        <v>3</v>
      </c>
      <c r="K125" s="39">
        <v>0</v>
      </c>
      <c r="L125" s="54">
        <f>M125*P125</f>
        <v>1289</v>
      </c>
      <c r="M125" s="39">
        <f>(I125-K125)/J125</f>
        <v>429.66666666666669</v>
      </c>
      <c r="N125" s="39">
        <f>I125-L125</f>
        <v>0</v>
      </c>
      <c r="O125" s="44"/>
      <c r="P125" s="56">
        <v>3</v>
      </c>
    </row>
    <row r="126" spans="1:16" ht="30" x14ac:dyDescent="0.25">
      <c r="A126" s="34">
        <v>120</v>
      </c>
      <c r="B126" s="41" t="s">
        <v>36</v>
      </c>
      <c r="C126" s="38">
        <v>50</v>
      </c>
      <c r="D126" s="41" t="s">
        <v>10</v>
      </c>
      <c r="E126" s="41" t="s">
        <v>35</v>
      </c>
      <c r="F126" s="38"/>
      <c r="G126" s="38"/>
      <c r="H126" s="42">
        <v>44832</v>
      </c>
      <c r="I126" s="43">
        <v>23250</v>
      </c>
      <c r="J126" s="38">
        <v>7</v>
      </c>
      <c r="K126" s="39">
        <v>2325</v>
      </c>
      <c r="L126" s="54">
        <f>M126*P126</f>
        <v>8967.8571428571431</v>
      </c>
      <c r="M126" s="39">
        <f>(I126-K126)/J126</f>
        <v>2989.2857142857142</v>
      </c>
      <c r="N126" s="39">
        <f>I126-L126</f>
        <v>14282.142857142857</v>
      </c>
      <c r="O126" s="44" t="s">
        <v>54</v>
      </c>
      <c r="P126" s="56">
        <v>3</v>
      </c>
    </row>
    <row r="127" spans="1:16" x14ac:dyDescent="0.25">
      <c r="A127" s="34">
        <v>121</v>
      </c>
      <c r="B127" s="41" t="s">
        <v>181</v>
      </c>
      <c r="C127" s="38">
        <v>2</v>
      </c>
      <c r="D127" s="41" t="s">
        <v>11</v>
      </c>
      <c r="E127" s="41" t="s">
        <v>31</v>
      </c>
      <c r="F127" s="38"/>
      <c r="G127" s="38" t="s">
        <v>182</v>
      </c>
      <c r="H127" s="42">
        <v>44834</v>
      </c>
      <c r="I127" s="43">
        <v>2711.6</v>
      </c>
      <c r="J127" s="38">
        <v>5</v>
      </c>
      <c r="K127" s="39">
        <v>0</v>
      </c>
      <c r="L127" s="54">
        <f>M127*P127</f>
        <v>1626.9599999999998</v>
      </c>
      <c r="M127" s="39">
        <f>(I127-K127)/J127</f>
        <v>542.31999999999994</v>
      </c>
      <c r="N127" s="39">
        <f>I127-L127</f>
        <v>1084.6400000000001</v>
      </c>
      <c r="O127" s="44" t="s">
        <v>183</v>
      </c>
      <c r="P127" s="56">
        <v>3</v>
      </c>
    </row>
    <row r="128" spans="1:16" x14ac:dyDescent="0.25">
      <c r="A128" s="34">
        <v>122</v>
      </c>
      <c r="B128" s="41" t="s">
        <v>169</v>
      </c>
      <c r="C128" s="38">
        <v>1</v>
      </c>
      <c r="D128" s="41" t="s">
        <v>11</v>
      </c>
      <c r="E128" s="41" t="s">
        <v>108</v>
      </c>
      <c r="F128" s="38"/>
      <c r="G128" s="38"/>
      <c r="H128" s="42">
        <v>44840</v>
      </c>
      <c r="I128" s="43">
        <v>999</v>
      </c>
      <c r="J128" s="38">
        <v>3</v>
      </c>
      <c r="K128" s="39">
        <v>0</v>
      </c>
      <c r="L128" s="54">
        <f>M128*P128</f>
        <v>999</v>
      </c>
      <c r="M128" s="39">
        <f>(I128-K128)/J128</f>
        <v>333</v>
      </c>
      <c r="N128" s="39">
        <f>I128-L128</f>
        <v>0</v>
      </c>
      <c r="O128" s="44"/>
      <c r="P128" s="56">
        <v>3</v>
      </c>
    </row>
    <row r="129" spans="1:16" x14ac:dyDescent="0.25">
      <c r="A129" s="34">
        <v>123</v>
      </c>
      <c r="B129" s="41" t="s">
        <v>168</v>
      </c>
      <c r="C129" s="38">
        <v>1</v>
      </c>
      <c r="D129" s="41" t="s">
        <v>11</v>
      </c>
      <c r="E129" s="41" t="s">
        <v>108</v>
      </c>
      <c r="F129" s="38"/>
      <c r="G129" s="38"/>
      <c r="H129" s="42">
        <v>44845</v>
      </c>
      <c r="I129" s="43">
        <v>809</v>
      </c>
      <c r="J129" s="38">
        <v>5</v>
      </c>
      <c r="K129" s="39">
        <v>0</v>
      </c>
      <c r="L129" s="54">
        <f>M129*P129</f>
        <v>485.40000000000003</v>
      </c>
      <c r="M129" s="39">
        <f>(I129-K129)/J129</f>
        <v>161.80000000000001</v>
      </c>
      <c r="N129" s="39">
        <f>I129-L129</f>
        <v>323.59999999999997</v>
      </c>
      <c r="O129" s="44"/>
      <c r="P129" s="56">
        <v>3</v>
      </c>
    </row>
    <row r="130" spans="1:16" x14ac:dyDescent="0.25">
      <c r="A130" s="34">
        <v>124</v>
      </c>
      <c r="B130" s="41" t="s">
        <v>138</v>
      </c>
      <c r="C130" s="38">
        <v>8</v>
      </c>
      <c r="D130" s="41" t="s">
        <v>11</v>
      </c>
      <c r="E130" s="41" t="s">
        <v>135</v>
      </c>
      <c r="F130" s="38"/>
      <c r="G130" s="38"/>
      <c r="H130" s="42">
        <v>44846</v>
      </c>
      <c r="I130" s="43">
        <v>4640</v>
      </c>
      <c r="J130" s="38">
        <v>5</v>
      </c>
      <c r="K130" s="39">
        <v>464</v>
      </c>
      <c r="L130" s="54">
        <f>M130*P130</f>
        <v>2505.6000000000004</v>
      </c>
      <c r="M130" s="39">
        <f>(I130-K130)/J130</f>
        <v>835.2</v>
      </c>
      <c r="N130" s="39">
        <f>I130-L130</f>
        <v>2134.3999999999996</v>
      </c>
      <c r="O130" s="44" t="s">
        <v>139</v>
      </c>
      <c r="P130" s="56">
        <v>3</v>
      </c>
    </row>
    <row r="131" spans="1:16" x14ac:dyDescent="0.25">
      <c r="A131" s="34">
        <v>125</v>
      </c>
      <c r="B131" s="41" t="s">
        <v>173</v>
      </c>
      <c r="C131" s="38">
        <v>1</v>
      </c>
      <c r="D131" s="41" t="s">
        <v>11</v>
      </c>
      <c r="E131" s="41" t="s">
        <v>35</v>
      </c>
      <c r="F131" s="38"/>
      <c r="G131" s="38"/>
      <c r="H131" s="42">
        <v>44853</v>
      </c>
      <c r="I131" s="43">
        <v>3750</v>
      </c>
      <c r="J131" s="38">
        <v>3</v>
      </c>
      <c r="K131" s="39">
        <v>0</v>
      </c>
      <c r="L131" s="54">
        <v>3750</v>
      </c>
      <c r="M131" s="39">
        <f>(I131-K131)/J131</f>
        <v>1250</v>
      </c>
      <c r="N131" s="70">
        <f>I131-L131</f>
        <v>0</v>
      </c>
      <c r="O131" s="44" t="s">
        <v>33</v>
      </c>
      <c r="P131" s="56">
        <v>3</v>
      </c>
    </row>
    <row r="132" spans="1:16" x14ac:dyDescent="0.25">
      <c r="A132" s="34">
        <v>126</v>
      </c>
      <c r="B132" s="41" t="s">
        <v>171</v>
      </c>
      <c r="C132" s="38">
        <v>1</v>
      </c>
      <c r="D132" s="41" t="s">
        <v>8</v>
      </c>
      <c r="E132" s="41" t="s">
        <v>92</v>
      </c>
      <c r="F132" s="38"/>
      <c r="G132" s="38"/>
      <c r="H132" s="42">
        <v>44854</v>
      </c>
      <c r="I132" s="43">
        <v>1623.63</v>
      </c>
      <c r="J132" s="38">
        <v>4</v>
      </c>
      <c r="K132" s="39">
        <v>0</v>
      </c>
      <c r="L132" s="54">
        <f>M132*P132</f>
        <v>1217.7225000000001</v>
      </c>
      <c r="M132" s="39">
        <f>(I132-K132)/J132</f>
        <v>405.90750000000003</v>
      </c>
      <c r="N132" s="39">
        <f>I132-L132</f>
        <v>405.90750000000003</v>
      </c>
      <c r="O132" s="44" t="s">
        <v>172</v>
      </c>
      <c r="P132" s="56">
        <v>3</v>
      </c>
    </row>
    <row r="133" spans="1:16" x14ac:dyDescent="0.25">
      <c r="A133" s="34">
        <v>127</v>
      </c>
      <c r="B133" s="41" t="s">
        <v>140</v>
      </c>
      <c r="C133" s="38">
        <v>8</v>
      </c>
      <c r="D133" s="41" t="s">
        <v>11</v>
      </c>
      <c r="E133" s="41" t="s">
        <v>135</v>
      </c>
      <c r="F133" s="38"/>
      <c r="G133" s="38"/>
      <c r="H133" s="42">
        <v>44855</v>
      </c>
      <c r="I133" s="43">
        <v>8400</v>
      </c>
      <c r="J133" s="38">
        <v>5</v>
      </c>
      <c r="K133" s="39">
        <v>840</v>
      </c>
      <c r="L133" s="54">
        <f>M133*P133</f>
        <v>4536</v>
      </c>
      <c r="M133" s="39">
        <f>(I133-K133)/J133</f>
        <v>1512</v>
      </c>
      <c r="N133" s="39">
        <f>I133-L133</f>
        <v>3864</v>
      </c>
      <c r="O133" s="44"/>
      <c r="P133" s="56">
        <v>3</v>
      </c>
    </row>
    <row r="134" spans="1:16" x14ac:dyDescent="0.25">
      <c r="A134" s="34">
        <v>128</v>
      </c>
      <c r="B134" s="41" t="s">
        <v>170</v>
      </c>
      <c r="C134" s="38">
        <v>1</v>
      </c>
      <c r="D134" s="41" t="s">
        <v>11</v>
      </c>
      <c r="E134" s="41" t="s">
        <v>73</v>
      </c>
      <c r="F134" s="38"/>
      <c r="G134" s="38"/>
      <c r="H134" s="42">
        <v>44858</v>
      </c>
      <c r="I134" s="43">
        <v>2424.36</v>
      </c>
      <c r="J134" s="38">
        <v>3</v>
      </c>
      <c r="K134" s="39">
        <v>0</v>
      </c>
      <c r="L134" s="54">
        <f>M134*P134</f>
        <v>2424.36</v>
      </c>
      <c r="M134" s="39">
        <f>(I134-K134)/J134</f>
        <v>808.12</v>
      </c>
      <c r="N134" s="39">
        <f>I134-L134</f>
        <v>0</v>
      </c>
      <c r="O134" s="44"/>
      <c r="P134" s="56">
        <v>3</v>
      </c>
    </row>
    <row r="135" spans="1:16" x14ac:dyDescent="0.25">
      <c r="A135" s="34">
        <v>129</v>
      </c>
      <c r="B135" s="41" t="s">
        <v>176</v>
      </c>
      <c r="C135" s="38">
        <v>1</v>
      </c>
      <c r="D135" s="41" t="s">
        <v>11</v>
      </c>
      <c r="E135" s="41" t="s">
        <v>177</v>
      </c>
      <c r="F135" s="38"/>
      <c r="G135" s="38"/>
      <c r="H135" s="42">
        <v>44859</v>
      </c>
      <c r="I135" s="43">
        <v>2650</v>
      </c>
      <c r="J135" s="38">
        <v>3</v>
      </c>
      <c r="K135" s="39">
        <v>0</v>
      </c>
      <c r="L135" s="54">
        <f>M135*P135</f>
        <v>2650</v>
      </c>
      <c r="M135" s="39">
        <f>(I135-K135)/J135</f>
        <v>883.33333333333337</v>
      </c>
      <c r="N135" s="39">
        <f>I135-L135</f>
        <v>0</v>
      </c>
      <c r="O135" s="44"/>
      <c r="P135" s="56">
        <v>3</v>
      </c>
    </row>
    <row r="136" spans="1:16" ht="30" x14ac:dyDescent="0.25">
      <c r="A136" s="78">
        <v>130</v>
      </c>
      <c r="B136" s="41" t="s">
        <v>36</v>
      </c>
      <c r="C136" s="38">
        <v>52</v>
      </c>
      <c r="D136" s="41" t="s">
        <v>10</v>
      </c>
      <c r="E136" s="41" t="s">
        <v>35</v>
      </c>
      <c r="F136" s="38"/>
      <c r="G136" s="38"/>
      <c r="H136" s="42">
        <v>44859</v>
      </c>
      <c r="I136" s="43">
        <v>24180</v>
      </c>
      <c r="J136" s="38">
        <v>7</v>
      </c>
      <c r="K136" s="39">
        <v>2418</v>
      </c>
      <c r="L136" s="54">
        <f>M136*P136</f>
        <v>9326.5714285714275</v>
      </c>
      <c r="M136" s="39">
        <f>(I136-K136)/J136</f>
        <v>3108.8571428571427</v>
      </c>
      <c r="N136" s="39">
        <f>I136-L136</f>
        <v>14853.428571428572</v>
      </c>
      <c r="O136" s="44" t="s">
        <v>54</v>
      </c>
      <c r="P136" s="56">
        <v>3</v>
      </c>
    </row>
    <row r="137" spans="1:16" ht="30" x14ac:dyDescent="0.25">
      <c r="A137" s="34">
        <v>131</v>
      </c>
      <c r="B137" s="41" t="s">
        <v>96</v>
      </c>
      <c r="C137" s="38">
        <v>4</v>
      </c>
      <c r="D137" s="41" t="s">
        <v>10</v>
      </c>
      <c r="E137" s="41" t="s">
        <v>97</v>
      </c>
      <c r="F137" s="38"/>
      <c r="G137" s="38"/>
      <c r="H137" s="42">
        <v>44865</v>
      </c>
      <c r="I137" s="43">
        <v>19714.57</v>
      </c>
      <c r="J137" s="38">
        <v>10</v>
      </c>
      <c r="K137" s="54">
        <v>1971.45</v>
      </c>
      <c r="L137" s="54">
        <f>M137*P137</f>
        <v>5322.9359999999997</v>
      </c>
      <c r="M137" s="39">
        <f>(I137-K137)/J137</f>
        <v>1774.3119999999999</v>
      </c>
      <c r="N137" s="39">
        <f>I137-L137</f>
        <v>14391.634</v>
      </c>
      <c r="O137" s="44" t="s">
        <v>146</v>
      </c>
      <c r="P137" s="56">
        <v>3</v>
      </c>
    </row>
    <row r="138" spans="1:16" ht="45" x14ac:dyDescent="0.25">
      <c r="A138" s="34">
        <v>132</v>
      </c>
      <c r="B138" s="41" t="s">
        <v>179</v>
      </c>
      <c r="C138" s="38">
        <v>1</v>
      </c>
      <c r="D138" s="41" t="s">
        <v>9</v>
      </c>
      <c r="E138" s="41" t="s">
        <v>180</v>
      </c>
      <c r="F138" s="38"/>
      <c r="G138" s="38">
        <v>1126798</v>
      </c>
      <c r="H138" s="42">
        <v>44865</v>
      </c>
      <c r="I138" s="43">
        <v>12078</v>
      </c>
      <c r="J138" s="38">
        <v>10</v>
      </c>
      <c r="K138" s="39">
        <v>1207.8</v>
      </c>
      <c r="L138" s="54">
        <f>M138*P138</f>
        <v>3261.06</v>
      </c>
      <c r="M138" s="39">
        <f>(I138-K138)/J138</f>
        <v>1087.02</v>
      </c>
      <c r="N138" s="39">
        <f>I138-L138</f>
        <v>8816.94</v>
      </c>
      <c r="O138" s="44"/>
      <c r="P138" s="56">
        <v>3</v>
      </c>
    </row>
    <row r="139" spans="1:16" x14ac:dyDescent="0.25">
      <c r="A139" s="34">
        <v>133</v>
      </c>
      <c r="B139" s="41" t="s">
        <v>138</v>
      </c>
      <c r="C139" s="38">
        <v>4</v>
      </c>
      <c r="D139" s="41" t="s">
        <v>11</v>
      </c>
      <c r="E139" s="41" t="s">
        <v>135</v>
      </c>
      <c r="F139" s="38"/>
      <c r="G139" s="38"/>
      <c r="H139" s="42">
        <v>44868</v>
      </c>
      <c r="I139" s="43">
        <v>2320</v>
      </c>
      <c r="J139" s="38">
        <v>5</v>
      </c>
      <c r="K139" s="39">
        <v>232</v>
      </c>
      <c r="L139" s="54">
        <f>M139*P139</f>
        <v>1252.8000000000002</v>
      </c>
      <c r="M139" s="39">
        <f>(I139-K139)/J139</f>
        <v>417.6</v>
      </c>
      <c r="N139" s="39">
        <f>I139-L139</f>
        <v>1067.1999999999998</v>
      </c>
      <c r="O139" s="44" t="s">
        <v>139</v>
      </c>
      <c r="P139" s="56">
        <v>3</v>
      </c>
    </row>
    <row r="140" spans="1:16" ht="30" x14ac:dyDescent="0.25">
      <c r="A140" s="34">
        <v>134</v>
      </c>
      <c r="B140" s="41" t="s">
        <v>178</v>
      </c>
      <c r="C140" s="38">
        <v>1</v>
      </c>
      <c r="D140" s="41" t="s">
        <v>9</v>
      </c>
      <c r="E140" s="41" t="s">
        <v>108</v>
      </c>
      <c r="F140" s="38"/>
      <c r="G140" s="38"/>
      <c r="H140" s="42">
        <v>44872</v>
      </c>
      <c r="I140" s="43">
        <v>2299</v>
      </c>
      <c r="J140" s="38">
        <v>5</v>
      </c>
      <c r="K140" s="39">
        <v>229</v>
      </c>
      <c r="L140" s="54">
        <f>M140*P140</f>
        <v>1242</v>
      </c>
      <c r="M140" s="39">
        <f>(I140-K140)/J140</f>
        <v>414</v>
      </c>
      <c r="N140" s="39">
        <f>I140-L140</f>
        <v>1057</v>
      </c>
      <c r="O140" s="44"/>
      <c r="P140" s="56">
        <v>3</v>
      </c>
    </row>
    <row r="141" spans="1:16" x14ac:dyDescent="0.25">
      <c r="A141" s="34">
        <v>135</v>
      </c>
      <c r="B141" s="46" t="s">
        <v>184</v>
      </c>
      <c r="C141" s="73">
        <v>1</v>
      </c>
      <c r="D141" s="46" t="s">
        <v>9</v>
      </c>
      <c r="E141" s="46" t="s">
        <v>185</v>
      </c>
      <c r="F141" s="73"/>
      <c r="G141" s="73" t="s">
        <v>186</v>
      </c>
      <c r="H141" s="74">
        <v>44887</v>
      </c>
      <c r="I141" s="75">
        <v>34000</v>
      </c>
      <c r="J141" s="73">
        <v>5</v>
      </c>
      <c r="K141" s="70">
        <v>0</v>
      </c>
      <c r="L141" s="76">
        <v>34000</v>
      </c>
      <c r="M141" s="70">
        <v>34000</v>
      </c>
      <c r="N141" s="70">
        <f>I141-L141</f>
        <v>0</v>
      </c>
      <c r="O141" s="79" t="s">
        <v>187</v>
      </c>
      <c r="P141" s="77">
        <v>3</v>
      </c>
    </row>
    <row r="142" spans="1:16" ht="30" x14ac:dyDescent="0.25">
      <c r="A142" s="34">
        <v>136</v>
      </c>
      <c r="B142" s="41" t="s">
        <v>36</v>
      </c>
      <c r="C142" s="38">
        <v>50</v>
      </c>
      <c r="D142" s="41" t="s">
        <v>10</v>
      </c>
      <c r="E142" s="41" t="s">
        <v>35</v>
      </c>
      <c r="F142" s="38"/>
      <c r="G142" s="38"/>
      <c r="H142" s="42">
        <v>44887</v>
      </c>
      <c r="I142" s="43">
        <v>23250</v>
      </c>
      <c r="J142" s="38">
        <v>7</v>
      </c>
      <c r="K142" s="39">
        <v>2325</v>
      </c>
      <c r="L142" s="54">
        <f>M142*P142</f>
        <v>8967.8571428571431</v>
      </c>
      <c r="M142" s="39">
        <f>(I142-K142)/J142</f>
        <v>2989.2857142857142</v>
      </c>
      <c r="N142" s="39">
        <f>I142-L142</f>
        <v>14282.142857142857</v>
      </c>
      <c r="O142" s="44" t="s">
        <v>54</v>
      </c>
      <c r="P142" s="56">
        <v>3</v>
      </c>
    </row>
    <row r="143" spans="1:16" ht="30" x14ac:dyDescent="0.25">
      <c r="A143" s="34">
        <v>137</v>
      </c>
      <c r="B143" s="41" t="s">
        <v>196</v>
      </c>
      <c r="C143" s="38">
        <v>10</v>
      </c>
      <c r="D143" s="41" t="s">
        <v>10</v>
      </c>
      <c r="E143" s="41" t="s">
        <v>197</v>
      </c>
      <c r="F143" s="38"/>
      <c r="G143" s="38"/>
      <c r="H143" s="42">
        <v>44895</v>
      </c>
      <c r="I143" s="43">
        <v>80000</v>
      </c>
      <c r="J143" s="38">
        <v>10</v>
      </c>
      <c r="K143" s="39">
        <v>8000</v>
      </c>
      <c r="L143" s="54">
        <f>M143*P143</f>
        <v>21600</v>
      </c>
      <c r="M143" s="39">
        <f>(I143-K143)/J143</f>
        <v>7200</v>
      </c>
      <c r="N143" s="39">
        <f>I143-L143</f>
        <v>58400</v>
      </c>
      <c r="O143" s="44">
        <v>8000</v>
      </c>
      <c r="P143" s="56">
        <v>3</v>
      </c>
    </row>
    <row r="144" spans="1:16" x14ac:dyDescent="0.25">
      <c r="A144" s="34">
        <v>138</v>
      </c>
      <c r="B144" s="41" t="s">
        <v>188</v>
      </c>
      <c r="C144" s="38">
        <v>1</v>
      </c>
      <c r="D144" s="41" t="s">
        <v>8</v>
      </c>
      <c r="E144" s="41" t="s">
        <v>189</v>
      </c>
      <c r="F144" s="38"/>
      <c r="G144" s="38"/>
      <c r="H144" s="42">
        <v>44904</v>
      </c>
      <c r="I144" s="43">
        <v>347</v>
      </c>
      <c r="J144" s="38">
        <v>4</v>
      </c>
      <c r="K144" s="39">
        <v>0</v>
      </c>
      <c r="L144" s="54">
        <f>M144*P144</f>
        <v>260.25</v>
      </c>
      <c r="M144" s="39">
        <f>(I144-K144)/J144</f>
        <v>86.75</v>
      </c>
      <c r="N144" s="39">
        <f>I144-L144</f>
        <v>86.75</v>
      </c>
      <c r="O144" s="44"/>
      <c r="P144" s="56">
        <v>3</v>
      </c>
    </row>
    <row r="145" spans="1:16" x14ac:dyDescent="0.25">
      <c r="A145" s="34">
        <v>139</v>
      </c>
      <c r="B145" s="41" t="s">
        <v>190</v>
      </c>
      <c r="C145" s="38">
        <v>1</v>
      </c>
      <c r="D145" s="41" t="s">
        <v>8</v>
      </c>
      <c r="E145" s="41" t="s">
        <v>92</v>
      </c>
      <c r="F145" s="38"/>
      <c r="G145" s="38"/>
      <c r="H145" s="42">
        <v>44904</v>
      </c>
      <c r="I145" s="43">
        <v>1515.49</v>
      </c>
      <c r="J145" s="38">
        <v>4</v>
      </c>
      <c r="K145" s="39">
        <v>0</v>
      </c>
      <c r="L145" s="54">
        <f>M145*P145</f>
        <v>1136.6175000000001</v>
      </c>
      <c r="M145" s="39">
        <f>(I145-K145)/J145</f>
        <v>378.8725</v>
      </c>
      <c r="N145" s="39">
        <f>I145-L145</f>
        <v>378.87249999999995</v>
      </c>
      <c r="O145" s="44"/>
      <c r="P145" s="56">
        <v>3</v>
      </c>
    </row>
    <row r="146" spans="1:16" ht="30" x14ac:dyDescent="0.25">
      <c r="A146" s="34">
        <v>140</v>
      </c>
      <c r="B146" s="41" t="s">
        <v>194</v>
      </c>
      <c r="C146" s="38">
        <v>12</v>
      </c>
      <c r="D146" s="41" t="s">
        <v>10</v>
      </c>
      <c r="E146" s="41" t="s">
        <v>101</v>
      </c>
      <c r="F146" s="38"/>
      <c r="G146" s="38"/>
      <c r="H146" s="42">
        <v>44942</v>
      </c>
      <c r="I146" s="43">
        <v>16729.23</v>
      </c>
      <c r="J146" s="38">
        <v>10</v>
      </c>
      <c r="K146" s="39">
        <v>1672.92</v>
      </c>
      <c r="L146" s="54">
        <f>M146*P146</f>
        <v>4516.893</v>
      </c>
      <c r="M146" s="39">
        <f>(I146-K146)/J146</f>
        <v>1505.6309999999999</v>
      </c>
      <c r="N146" s="39">
        <f>I146-L146</f>
        <v>12212.337</v>
      </c>
      <c r="O146" s="44" t="s">
        <v>195</v>
      </c>
      <c r="P146" s="56">
        <v>3</v>
      </c>
    </row>
    <row r="147" spans="1:16" x14ac:dyDescent="0.25">
      <c r="A147" s="78">
        <v>141</v>
      </c>
      <c r="B147" s="41" t="s">
        <v>138</v>
      </c>
      <c r="C147" s="38">
        <v>1</v>
      </c>
      <c r="D147" s="41" t="s">
        <v>11</v>
      </c>
      <c r="E147" s="41" t="s">
        <v>135</v>
      </c>
      <c r="F147" s="38"/>
      <c r="G147" s="38"/>
      <c r="H147" s="42">
        <v>44945</v>
      </c>
      <c r="I147" s="43">
        <v>580</v>
      </c>
      <c r="J147" s="38">
        <v>5</v>
      </c>
      <c r="K147" s="39">
        <v>58</v>
      </c>
      <c r="L147" s="54">
        <f>M147*P147</f>
        <v>313.20000000000005</v>
      </c>
      <c r="M147" s="39">
        <f>(I147-K147)/J147</f>
        <v>104.4</v>
      </c>
      <c r="N147" s="39">
        <f>I147-L147</f>
        <v>266.79999999999995</v>
      </c>
      <c r="O147" s="44"/>
      <c r="P147" s="56">
        <v>3</v>
      </c>
    </row>
    <row r="148" spans="1:16" x14ac:dyDescent="0.25">
      <c r="A148" s="34">
        <v>142</v>
      </c>
      <c r="B148" s="41" t="s">
        <v>198</v>
      </c>
      <c r="C148" s="38">
        <v>1</v>
      </c>
      <c r="D148" s="41" t="s">
        <v>11</v>
      </c>
      <c r="E148" s="41" t="s">
        <v>108</v>
      </c>
      <c r="F148" s="38"/>
      <c r="G148" s="38"/>
      <c r="H148" s="42">
        <v>44964</v>
      </c>
      <c r="I148" s="43">
        <v>749</v>
      </c>
      <c r="J148" s="38">
        <v>5</v>
      </c>
      <c r="K148" s="39">
        <v>0</v>
      </c>
      <c r="L148" s="54">
        <f>M148*P148</f>
        <v>449.40000000000003</v>
      </c>
      <c r="M148" s="39">
        <f>(I148-K148)/J148</f>
        <v>149.80000000000001</v>
      </c>
      <c r="N148" s="39">
        <f>I148-L148</f>
        <v>299.59999999999997</v>
      </c>
      <c r="O148" s="44"/>
      <c r="P148" s="56">
        <v>3</v>
      </c>
    </row>
    <row r="149" spans="1:16" x14ac:dyDescent="0.25">
      <c r="A149" s="34">
        <v>143</v>
      </c>
      <c r="B149" s="46" t="s">
        <v>190</v>
      </c>
      <c r="C149" s="73">
        <v>1</v>
      </c>
      <c r="D149" s="46" t="s">
        <v>8</v>
      </c>
      <c r="E149" s="46" t="s">
        <v>92</v>
      </c>
      <c r="F149" s="73"/>
      <c r="G149" s="73"/>
      <c r="H149" s="74">
        <v>44964</v>
      </c>
      <c r="I149" s="75">
        <v>1675.8</v>
      </c>
      <c r="J149" s="73">
        <v>4</v>
      </c>
      <c r="K149" s="70">
        <v>0</v>
      </c>
      <c r="L149" s="76">
        <f>M149*P149</f>
        <v>0</v>
      </c>
      <c r="M149" s="70">
        <f>(I149-K149)/J149</f>
        <v>418.95</v>
      </c>
      <c r="N149" s="70">
        <v>0</v>
      </c>
      <c r="O149" s="79" t="s">
        <v>199</v>
      </c>
      <c r="P149" s="77">
        <v>0</v>
      </c>
    </row>
    <row r="150" spans="1:16" x14ac:dyDescent="0.25">
      <c r="A150" s="34">
        <v>144</v>
      </c>
      <c r="B150" s="41" t="s">
        <v>138</v>
      </c>
      <c r="C150" s="38">
        <v>8</v>
      </c>
      <c r="D150" s="41" t="s">
        <v>11</v>
      </c>
      <c r="E150" s="41" t="s">
        <v>135</v>
      </c>
      <c r="F150" s="38"/>
      <c r="G150" s="38"/>
      <c r="H150" s="42">
        <v>44966</v>
      </c>
      <c r="I150" s="43">
        <v>4640</v>
      </c>
      <c r="J150" s="38">
        <v>5</v>
      </c>
      <c r="K150" s="39">
        <v>464</v>
      </c>
      <c r="L150" s="54">
        <f>M150*P150</f>
        <v>2505.6000000000004</v>
      </c>
      <c r="M150" s="39">
        <f>(I150-K150)/J150</f>
        <v>835.2</v>
      </c>
      <c r="N150" s="39">
        <f>I150-L150</f>
        <v>2134.3999999999996</v>
      </c>
      <c r="O150" s="44" t="s">
        <v>139</v>
      </c>
      <c r="P150" s="56">
        <v>3</v>
      </c>
    </row>
    <row r="151" spans="1:16" ht="30" x14ac:dyDescent="0.25">
      <c r="A151" s="34">
        <v>145</v>
      </c>
      <c r="B151" s="41" t="s">
        <v>36</v>
      </c>
      <c r="C151" s="38">
        <v>100</v>
      </c>
      <c r="D151" s="41" t="s">
        <v>10</v>
      </c>
      <c r="E151" s="41" t="s">
        <v>35</v>
      </c>
      <c r="F151" s="38"/>
      <c r="G151" s="38"/>
      <c r="H151" s="42">
        <v>44979</v>
      </c>
      <c r="I151" s="43">
        <v>46500</v>
      </c>
      <c r="J151" s="38">
        <v>7</v>
      </c>
      <c r="K151" s="39">
        <v>4650</v>
      </c>
      <c r="L151" s="54">
        <f>M151*P151</f>
        <v>17935.714285714286</v>
      </c>
      <c r="M151" s="39">
        <f>(I151-K151)/J151</f>
        <v>5978.5714285714284</v>
      </c>
      <c r="N151" s="39">
        <f>I151-L151</f>
        <v>28564.285714285714</v>
      </c>
      <c r="O151" s="44" t="s">
        <v>202</v>
      </c>
      <c r="P151" s="56">
        <v>3</v>
      </c>
    </row>
    <row r="152" spans="1:16" x14ac:dyDescent="0.25">
      <c r="A152" s="34">
        <v>146</v>
      </c>
      <c r="B152" s="41" t="s">
        <v>203</v>
      </c>
      <c r="C152" s="38">
        <v>1</v>
      </c>
      <c r="D152" s="41" t="s">
        <v>9</v>
      </c>
      <c r="E152" s="41" t="s">
        <v>201</v>
      </c>
      <c r="F152" s="38"/>
      <c r="G152" s="38"/>
      <c r="H152" s="42">
        <v>44984</v>
      </c>
      <c r="I152" s="43">
        <v>2789.1</v>
      </c>
      <c r="J152" s="38">
        <v>5</v>
      </c>
      <c r="K152" s="39">
        <v>0</v>
      </c>
      <c r="L152" s="54">
        <f>M152*P152</f>
        <v>1673.4599999999998</v>
      </c>
      <c r="M152" s="39">
        <f>(I152-K152)/J152</f>
        <v>557.81999999999994</v>
      </c>
      <c r="N152" s="39">
        <f>I152-L152</f>
        <v>1115.6400000000001</v>
      </c>
      <c r="O152" s="44"/>
      <c r="P152" s="56">
        <v>3</v>
      </c>
    </row>
    <row r="153" spans="1:16" x14ac:dyDescent="0.25">
      <c r="A153" s="34">
        <v>147</v>
      </c>
      <c r="B153" s="41" t="s">
        <v>204</v>
      </c>
      <c r="C153" s="38">
        <v>1</v>
      </c>
      <c r="D153" s="41" t="s">
        <v>8</v>
      </c>
      <c r="E153" s="41" t="s">
        <v>205</v>
      </c>
      <c r="F153" s="38"/>
      <c r="G153" s="38"/>
      <c r="H153" s="42">
        <v>44998</v>
      </c>
      <c r="I153" s="43">
        <v>1397</v>
      </c>
      <c r="J153" s="38">
        <v>3</v>
      </c>
      <c r="K153" s="39">
        <v>0</v>
      </c>
      <c r="L153" s="54">
        <f>M153*P153</f>
        <v>1397</v>
      </c>
      <c r="M153" s="39">
        <f>(I153-K153)/J153</f>
        <v>465.66666666666669</v>
      </c>
      <c r="N153" s="39">
        <f>I153-L153</f>
        <v>0</v>
      </c>
      <c r="O153" s="44" t="s">
        <v>206</v>
      </c>
      <c r="P153" s="56">
        <v>3</v>
      </c>
    </row>
    <row r="154" spans="1:16" x14ac:dyDescent="0.25">
      <c r="A154" s="34">
        <v>148</v>
      </c>
      <c r="B154" s="41" t="s">
        <v>207</v>
      </c>
      <c r="C154" s="38">
        <v>1</v>
      </c>
      <c r="D154" s="41" t="s">
        <v>8</v>
      </c>
      <c r="E154" s="41" t="s">
        <v>208</v>
      </c>
      <c r="F154" s="38"/>
      <c r="G154" s="38" t="s">
        <v>209</v>
      </c>
      <c r="H154" s="42">
        <v>45001</v>
      </c>
      <c r="I154" s="43">
        <v>3645.98</v>
      </c>
      <c r="J154" s="38">
        <v>4</v>
      </c>
      <c r="K154" s="39">
        <v>0</v>
      </c>
      <c r="L154" s="54">
        <f>M154*P154</f>
        <v>2734.4850000000001</v>
      </c>
      <c r="M154" s="39">
        <f>(I154-K154)/J154</f>
        <v>911.495</v>
      </c>
      <c r="N154" s="39">
        <f>I154-L154</f>
        <v>911.49499999999989</v>
      </c>
      <c r="O154" s="44" t="s">
        <v>210</v>
      </c>
      <c r="P154" s="56">
        <v>3</v>
      </c>
    </row>
    <row r="155" spans="1:16" x14ac:dyDescent="0.25">
      <c r="A155" s="34">
        <v>149</v>
      </c>
      <c r="B155" s="41" t="s">
        <v>212</v>
      </c>
      <c r="C155" s="38">
        <v>1</v>
      </c>
      <c r="D155" s="41" t="s">
        <v>8</v>
      </c>
      <c r="E155" s="41" t="s">
        <v>92</v>
      </c>
      <c r="F155" s="38"/>
      <c r="G155" s="38"/>
      <c r="H155" s="42">
        <v>45006</v>
      </c>
      <c r="I155" s="43">
        <v>1428.18</v>
      </c>
      <c r="J155" s="38">
        <v>4</v>
      </c>
      <c r="K155" s="39">
        <v>0</v>
      </c>
      <c r="L155" s="54">
        <f>M155*P155</f>
        <v>1071.135</v>
      </c>
      <c r="M155" s="39">
        <f>(I155-K155)/J155</f>
        <v>357.04500000000002</v>
      </c>
      <c r="N155" s="39">
        <f>I155-L155</f>
        <v>357.04500000000007</v>
      </c>
      <c r="O155" s="44" t="s">
        <v>213</v>
      </c>
      <c r="P155" s="56">
        <v>3</v>
      </c>
    </row>
    <row r="156" spans="1:16" x14ac:dyDescent="0.25">
      <c r="A156" s="34">
        <v>150</v>
      </c>
      <c r="B156" s="41" t="s">
        <v>211</v>
      </c>
      <c r="C156" s="38">
        <v>1</v>
      </c>
      <c r="D156" s="41" t="s">
        <v>11</v>
      </c>
      <c r="E156" s="41" t="s">
        <v>108</v>
      </c>
      <c r="F156" s="38"/>
      <c r="G156" s="38"/>
      <c r="H156" s="42">
        <v>45007</v>
      </c>
      <c r="I156" s="43">
        <v>499</v>
      </c>
      <c r="J156" s="38">
        <v>5</v>
      </c>
      <c r="K156" s="39">
        <v>0</v>
      </c>
      <c r="L156" s="54">
        <f>M156*P156</f>
        <v>299.39999999999998</v>
      </c>
      <c r="M156" s="39">
        <f>(I156-K156)/J156</f>
        <v>99.8</v>
      </c>
      <c r="N156" s="39">
        <f>I156-L156</f>
        <v>199.60000000000002</v>
      </c>
      <c r="O156" s="44"/>
      <c r="P156" s="56">
        <v>3</v>
      </c>
    </row>
    <row r="157" spans="1:16" ht="30" x14ac:dyDescent="0.25">
      <c r="A157" s="34">
        <v>151</v>
      </c>
      <c r="B157" s="41" t="s">
        <v>36</v>
      </c>
      <c r="C157" s="38">
        <v>57</v>
      </c>
      <c r="D157" s="41" t="s">
        <v>10</v>
      </c>
      <c r="E157" s="41" t="s">
        <v>35</v>
      </c>
      <c r="F157" s="38"/>
      <c r="G157" s="38"/>
      <c r="H157" s="42">
        <v>45008</v>
      </c>
      <c r="I157" s="43">
        <v>26505</v>
      </c>
      <c r="J157" s="38">
        <v>7</v>
      </c>
      <c r="K157" s="39">
        <v>2650</v>
      </c>
      <c r="L157" s="54">
        <f>M157*P157</f>
        <v>10223.571428571428</v>
      </c>
      <c r="M157" s="39">
        <f>(I157-K157)/J157</f>
        <v>3407.8571428571427</v>
      </c>
      <c r="N157" s="39">
        <f>I157-L157</f>
        <v>16281.428571428572</v>
      </c>
      <c r="O157" s="44" t="s">
        <v>202</v>
      </c>
      <c r="P157" s="56">
        <v>3</v>
      </c>
    </row>
    <row r="158" spans="1:16" x14ac:dyDescent="0.25">
      <c r="A158" s="34">
        <v>152</v>
      </c>
      <c r="B158" s="41" t="s">
        <v>214</v>
      </c>
      <c r="C158" s="38">
        <v>1</v>
      </c>
      <c r="D158" s="41" t="s">
        <v>8</v>
      </c>
      <c r="E158" s="41" t="s">
        <v>205</v>
      </c>
      <c r="F158" s="38"/>
      <c r="G158" s="38"/>
      <c r="H158" s="42">
        <v>45009</v>
      </c>
      <c r="I158" s="43">
        <v>827</v>
      </c>
      <c r="J158" s="38">
        <v>4</v>
      </c>
      <c r="K158" s="39">
        <v>0</v>
      </c>
      <c r="L158" s="54">
        <f>M158*P158</f>
        <v>620.25</v>
      </c>
      <c r="M158" s="39">
        <f>(I158-K158)/J158</f>
        <v>206.75</v>
      </c>
      <c r="N158" s="39">
        <f>I158-L158</f>
        <v>206.75</v>
      </c>
      <c r="O158" s="44" t="s">
        <v>215</v>
      </c>
      <c r="P158" s="56">
        <v>3</v>
      </c>
    </row>
    <row r="159" spans="1:16" x14ac:dyDescent="0.25">
      <c r="A159" s="34">
        <v>153</v>
      </c>
      <c r="B159" s="41" t="s">
        <v>216</v>
      </c>
      <c r="C159" s="38">
        <v>2</v>
      </c>
      <c r="D159" s="41" t="s">
        <v>11</v>
      </c>
      <c r="E159" s="41" t="s">
        <v>125</v>
      </c>
      <c r="F159" s="38"/>
      <c r="G159" s="38"/>
      <c r="H159" s="42">
        <v>45013</v>
      </c>
      <c r="I159" s="43">
        <v>2630</v>
      </c>
      <c r="J159" s="38">
        <v>5</v>
      </c>
      <c r="K159" s="39">
        <v>263</v>
      </c>
      <c r="L159" s="54">
        <f>M159*P159</f>
        <v>1420.1999999999998</v>
      </c>
      <c r="M159" s="39">
        <f>(I159-K159)/J159</f>
        <v>473.4</v>
      </c>
      <c r="N159" s="39">
        <f>I159-L159</f>
        <v>1209.8000000000002</v>
      </c>
      <c r="O159" s="44" t="s">
        <v>217</v>
      </c>
      <c r="P159" s="56">
        <v>3</v>
      </c>
    </row>
    <row r="160" spans="1:16" x14ac:dyDescent="0.25">
      <c r="A160" s="34">
        <v>154</v>
      </c>
      <c r="B160" s="41" t="s">
        <v>218</v>
      </c>
      <c r="C160" s="38">
        <v>4</v>
      </c>
      <c r="D160" s="41" t="s">
        <v>11</v>
      </c>
      <c r="E160" s="41" t="s">
        <v>125</v>
      </c>
      <c r="F160" s="38"/>
      <c r="G160" s="38"/>
      <c r="H160" s="42">
        <v>45013</v>
      </c>
      <c r="I160" s="43">
        <v>3980</v>
      </c>
      <c r="J160" s="38">
        <v>5</v>
      </c>
      <c r="K160" s="39">
        <v>398</v>
      </c>
      <c r="L160" s="54">
        <f>M160*P160</f>
        <v>2149.1999999999998</v>
      </c>
      <c r="M160" s="39">
        <f>(I160-K160)/J160</f>
        <v>716.4</v>
      </c>
      <c r="N160" s="39">
        <f>I160-L160</f>
        <v>1830.8000000000002</v>
      </c>
      <c r="O160" s="44" t="s">
        <v>219</v>
      </c>
      <c r="P160" s="56">
        <v>3</v>
      </c>
    </row>
    <row r="161" spans="1:16" x14ac:dyDescent="0.25">
      <c r="A161" s="34">
        <v>155</v>
      </c>
      <c r="B161" s="41" t="s">
        <v>220</v>
      </c>
      <c r="C161" s="38">
        <v>2</v>
      </c>
      <c r="D161" s="41" t="s">
        <v>11</v>
      </c>
      <c r="E161" s="41" t="s">
        <v>125</v>
      </c>
      <c r="F161" s="38"/>
      <c r="G161" s="38"/>
      <c r="H161" s="42">
        <v>45013</v>
      </c>
      <c r="I161" s="43">
        <v>3140</v>
      </c>
      <c r="J161" s="38">
        <v>5</v>
      </c>
      <c r="K161" s="39">
        <v>314</v>
      </c>
      <c r="L161" s="54">
        <f>M161*P161</f>
        <v>1695.6000000000001</v>
      </c>
      <c r="M161" s="39">
        <f>(I161-K161)/J161</f>
        <v>565.20000000000005</v>
      </c>
      <c r="N161" s="39">
        <f>I161-L161</f>
        <v>1444.3999999999999</v>
      </c>
      <c r="O161" s="44" t="s">
        <v>221</v>
      </c>
      <c r="P161" s="56">
        <v>3</v>
      </c>
    </row>
    <row r="162" spans="1:16" x14ac:dyDescent="0.25">
      <c r="A162" s="34">
        <v>156</v>
      </c>
      <c r="B162" s="41" t="s">
        <v>222</v>
      </c>
      <c r="C162" s="38">
        <v>2</v>
      </c>
      <c r="D162" s="41" t="s">
        <v>11</v>
      </c>
      <c r="E162" s="41" t="s">
        <v>125</v>
      </c>
      <c r="F162" s="38"/>
      <c r="G162" s="38"/>
      <c r="H162" s="42">
        <v>45013</v>
      </c>
      <c r="I162" s="43">
        <v>3660</v>
      </c>
      <c r="J162" s="38">
        <v>5</v>
      </c>
      <c r="K162" s="39">
        <v>366</v>
      </c>
      <c r="L162" s="54">
        <f>M162*P162</f>
        <v>1976.3999999999999</v>
      </c>
      <c r="M162" s="39">
        <f>(I162-K162)/J162</f>
        <v>658.8</v>
      </c>
      <c r="N162" s="39">
        <f>I162-L162</f>
        <v>1683.6000000000001</v>
      </c>
      <c r="O162" s="44" t="s">
        <v>223</v>
      </c>
      <c r="P162" s="56">
        <v>3</v>
      </c>
    </row>
    <row r="163" spans="1:16" x14ac:dyDescent="0.25">
      <c r="A163" s="34">
        <v>157</v>
      </c>
      <c r="B163" s="41" t="s">
        <v>224</v>
      </c>
      <c r="C163" s="38">
        <v>1</v>
      </c>
      <c r="D163" s="41" t="s">
        <v>8</v>
      </c>
      <c r="E163" s="41" t="s">
        <v>189</v>
      </c>
      <c r="F163" s="38"/>
      <c r="G163" s="38"/>
      <c r="H163" s="42">
        <v>45014</v>
      </c>
      <c r="I163" s="43">
        <v>719</v>
      </c>
      <c r="J163" s="38">
        <v>4</v>
      </c>
      <c r="K163" s="39">
        <v>0</v>
      </c>
      <c r="L163" s="54">
        <f>M163*P163</f>
        <v>539.25</v>
      </c>
      <c r="M163" s="39">
        <f>(I163-K163)/J163</f>
        <v>179.75</v>
      </c>
      <c r="N163" s="39">
        <f>I163-L163</f>
        <v>179.75</v>
      </c>
      <c r="O163" s="44" t="s">
        <v>225</v>
      </c>
      <c r="P163" s="56">
        <v>3</v>
      </c>
    </row>
    <row r="164" spans="1:16" ht="30" x14ac:dyDescent="0.25">
      <c r="A164" s="34">
        <v>158</v>
      </c>
      <c r="B164" s="41" t="s">
        <v>36</v>
      </c>
      <c r="C164" s="38">
        <v>43</v>
      </c>
      <c r="D164" s="41" t="s">
        <v>10</v>
      </c>
      <c r="E164" s="41" t="s">
        <v>35</v>
      </c>
      <c r="F164" s="38"/>
      <c r="G164" s="38"/>
      <c r="H164" s="42">
        <v>45014</v>
      </c>
      <c r="I164" s="43">
        <v>19995</v>
      </c>
      <c r="J164" s="38">
        <v>7</v>
      </c>
      <c r="K164" s="39">
        <v>1999.5</v>
      </c>
      <c r="L164" s="54">
        <f>M164*P164</f>
        <v>7712.3571428571431</v>
      </c>
      <c r="M164" s="39">
        <f>(I164-K164)/J164</f>
        <v>2570.7857142857142</v>
      </c>
      <c r="N164" s="39">
        <f>I164-L164</f>
        <v>12282.642857142857</v>
      </c>
      <c r="O164" s="44" t="s">
        <v>202</v>
      </c>
      <c r="P164" s="56">
        <v>3</v>
      </c>
    </row>
    <row r="165" spans="1:16" x14ac:dyDescent="0.25">
      <c r="A165" s="34">
        <v>159</v>
      </c>
      <c r="B165" s="41" t="s">
        <v>226</v>
      </c>
      <c r="C165" s="38">
        <v>1</v>
      </c>
      <c r="D165" s="41" t="s">
        <v>8</v>
      </c>
      <c r="E165" s="41" t="s">
        <v>92</v>
      </c>
      <c r="F165" s="38"/>
      <c r="G165" s="38"/>
      <c r="H165" s="42">
        <v>45019</v>
      </c>
      <c r="I165" s="43">
        <v>1559.09</v>
      </c>
      <c r="J165" s="38">
        <v>4</v>
      </c>
      <c r="K165" s="39">
        <v>0</v>
      </c>
      <c r="L165" s="54">
        <f>M165*P165</f>
        <v>1169.3174999999999</v>
      </c>
      <c r="M165" s="39">
        <f>(I165-K165)/J165</f>
        <v>389.77249999999998</v>
      </c>
      <c r="N165" s="39">
        <f>I165-L165</f>
        <v>389.77250000000004</v>
      </c>
      <c r="O165" s="44" t="s">
        <v>227</v>
      </c>
      <c r="P165" s="56">
        <v>3</v>
      </c>
    </row>
    <row r="166" spans="1:16" x14ac:dyDescent="0.25">
      <c r="A166" s="34">
        <v>160</v>
      </c>
      <c r="B166" s="91" t="s">
        <v>174</v>
      </c>
      <c r="C166" s="38">
        <v>1</v>
      </c>
      <c r="D166" s="41" t="s">
        <v>11</v>
      </c>
      <c r="E166" s="41" t="s">
        <v>35</v>
      </c>
      <c r="F166" s="38"/>
      <c r="G166" s="38"/>
      <c r="H166" s="42">
        <v>45033</v>
      </c>
      <c r="I166" s="43">
        <v>9800</v>
      </c>
      <c r="J166" s="38">
        <v>3</v>
      </c>
      <c r="K166" s="39">
        <v>0</v>
      </c>
      <c r="L166" s="54">
        <f>M166*P166</f>
        <v>9800</v>
      </c>
      <c r="M166" s="39">
        <f>(I166-K166)/J166</f>
        <v>3266.6666666666665</v>
      </c>
      <c r="N166" s="39">
        <f>I166-L166</f>
        <v>0</v>
      </c>
      <c r="O166" s="44"/>
      <c r="P166" s="56">
        <v>3</v>
      </c>
    </row>
    <row r="167" spans="1:16" x14ac:dyDescent="0.25">
      <c r="A167" s="34">
        <v>161</v>
      </c>
      <c r="B167" s="41" t="s">
        <v>228</v>
      </c>
      <c r="C167" s="38">
        <v>1</v>
      </c>
      <c r="D167" s="41" t="s">
        <v>11</v>
      </c>
      <c r="E167" s="41" t="s">
        <v>73</v>
      </c>
      <c r="F167" s="38"/>
      <c r="G167" s="38"/>
      <c r="H167" s="42">
        <v>45034</v>
      </c>
      <c r="I167" s="43">
        <v>1699.15</v>
      </c>
      <c r="J167" s="38">
        <v>3</v>
      </c>
      <c r="K167" s="39">
        <v>0</v>
      </c>
      <c r="L167" s="54">
        <f>M167*P167</f>
        <v>1699.15</v>
      </c>
      <c r="M167" s="39">
        <f>(I167-K167)/J167</f>
        <v>566.38333333333333</v>
      </c>
      <c r="N167" s="39">
        <f>I167-L167</f>
        <v>0</v>
      </c>
      <c r="O167" s="44"/>
      <c r="P167" s="56">
        <v>3</v>
      </c>
    </row>
    <row r="168" spans="1:16" ht="30" x14ac:dyDescent="0.25">
      <c r="A168" s="34">
        <v>162</v>
      </c>
      <c r="B168" s="38" t="s">
        <v>229</v>
      </c>
      <c r="C168" s="38">
        <v>10</v>
      </c>
      <c r="D168" s="41" t="s">
        <v>10</v>
      </c>
      <c r="E168" s="41" t="s">
        <v>197</v>
      </c>
      <c r="F168" s="38"/>
      <c r="G168" s="38"/>
      <c r="H168" s="42">
        <v>45043</v>
      </c>
      <c r="I168" s="43">
        <v>91569.38</v>
      </c>
      <c r="J168" s="38">
        <v>10</v>
      </c>
      <c r="K168" s="39">
        <v>9156</v>
      </c>
      <c r="L168" s="54">
        <f>M168*P168</f>
        <v>24724.013999999999</v>
      </c>
      <c r="M168" s="39">
        <f>(I168-K168)/J168</f>
        <v>8241.3379999999997</v>
      </c>
      <c r="N168" s="39">
        <f>I168-L168</f>
        <v>66845.366000000009</v>
      </c>
      <c r="O168" s="44">
        <v>9156.94</v>
      </c>
      <c r="P168" s="56">
        <v>3</v>
      </c>
    </row>
    <row r="169" spans="1:16" x14ac:dyDescent="0.25">
      <c r="A169" s="34">
        <v>163</v>
      </c>
      <c r="B169" s="41" t="s">
        <v>230</v>
      </c>
      <c r="C169" s="38">
        <v>1</v>
      </c>
      <c r="D169" s="41" t="s">
        <v>9</v>
      </c>
      <c r="E169" s="41" t="s">
        <v>61</v>
      </c>
      <c r="F169" s="38"/>
      <c r="G169" s="38" t="s">
        <v>231</v>
      </c>
      <c r="H169" s="42">
        <v>45061</v>
      </c>
      <c r="I169" s="43">
        <v>9475.4</v>
      </c>
      <c r="J169" s="38">
        <v>5</v>
      </c>
      <c r="K169" s="39">
        <v>947.54</v>
      </c>
      <c r="L169" s="54">
        <f>M169*P169</f>
        <v>5116.7160000000003</v>
      </c>
      <c r="M169" s="39">
        <f>(I169-K169)/J169</f>
        <v>1705.5720000000001</v>
      </c>
      <c r="N169" s="39">
        <f>I169-L169</f>
        <v>4358.6839999999993</v>
      </c>
      <c r="O169" s="44"/>
      <c r="P169" s="56">
        <v>3</v>
      </c>
    </row>
    <row r="170" spans="1:16" x14ac:dyDescent="0.25">
      <c r="A170" s="34">
        <v>164</v>
      </c>
      <c r="B170" s="41" t="s">
        <v>138</v>
      </c>
      <c r="C170" s="38">
        <v>4</v>
      </c>
      <c r="D170" s="41" t="s">
        <v>11</v>
      </c>
      <c r="E170" s="41" t="s">
        <v>135</v>
      </c>
      <c r="F170" s="38"/>
      <c r="G170" s="38" t="s">
        <v>232</v>
      </c>
      <c r="H170" s="42">
        <v>45071</v>
      </c>
      <c r="I170" s="43">
        <v>2320</v>
      </c>
      <c r="J170" s="38">
        <v>5</v>
      </c>
      <c r="K170" s="39">
        <v>232</v>
      </c>
      <c r="L170" s="54">
        <f>M170*P170</f>
        <v>1252.8000000000002</v>
      </c>
      <c r="M170" s="39">
        <f>(I170-K170)/J170</f>
        <v>417.6</v>
      </c>
      <c r="N170" s="39">
        <f>I170-L170</f>
        <v>1067.1999999999998</v>
      </c>
      <c r="O170" s="44"/>
      <c r="P170" s="56">
        <v>3</v>
      </c>
    </row>
    <row r="171" spans="1:16" x14ac:dyDescent="0.25">
      <c r="A171" s="34">
        <v>165</v>
      </c>
      <c r="B171" s="41" t="s">
        <v>233</v>
      </c>
      <c r="C171" s="38">
        <v>4</v>
      </c>
      <c r="D171" s="41" t="s">
        <v>11</v>
      </c>
      <c r="E171" s="41" t="s">
        <v>135</v>
      </c>
      <c r="F171" s="38"/>
      <c r="G171" s="66">
        <v>141142143144</v>
      </c>
      <c r="H171" s="42">
        <v>45071</v>
      </c>
      <c r="I171" s="43">
        <v>1920</v>
      </c>
      <c r="J171" s="38">
        <v>5</v>
      </c>
      <c r="K171" s="39">
        <v>192</v>
      </c>
      <c r="L171" s="54">
        <f>M171*P171</f>
        <v>1036.8000000000002</v>
      </c>
      <c r="M171" s="39">
        <f>(I171-K171)/J171</f>
        <v>345.6</v>
      </c>
      <c r="N171" s="39">
        <f>I171-L171</f>
        <v>883.19999999999982</v>
      </c>
      <c r="O171" s="44"/>
      <c r="P171" s="56">
        <v>3</v>
      </c>
    </row>
    <row r="172" spans="1:16" ht="30" x14ac:dyDescent="0.25">
      <c r="A172" s="34">
        <v>166</v>
      </c>
      <c r="B172" s="41" t="s">
        <v>229</v>
      </c>
      <c r="C172" s="38">
        <v>5</v>
      </c>
      <c r="D172" s="41" t="s">
        <v>10</v>
      </c>
      <c r="E172" s="41" t="s">
        <v>197</v>
      </c>
      <c r="F172" s="38"/>
      <c r="G172" s="38"/>
      <c r="H172" s="42">
        <v>45071</v>
      </c>
      <c r="I172" s="43">
        <v>40290.53</v>
      </c>
      <c r="J172" s="38">
        <v>10</v>
      </c>
      <c r="K172" s="39">
        <v>4029</v>
      </c>
      <c r="L172" s="54">
        <f>M172*P172</f>
        <v>10878.458999999999</v>
      </c>
      <c r="M172" s="39">
        <f>(I172-K172)/J172</f>
        <v>3626.1529999999998</v>
      </c>
      <c r="N172" s="39">
        <f>I172-L172</f>
        <v>29412.071</v>
      </c>
      <c r="O172" s="44">
        <v>8058.1</v>
      </c>
      <c r="P172" s="56">
        <v>3</v>
      </c>
    </row>
    <row r="173" spans="1:16" ht="30" x14ac:dyDescent="0.25">
      <c r="A173" s="34">
        <v>167</v>
      </c>
      <c r="B173" s="41" t="s">
        <v>229</v>
      </c>
      <c r="C173" s="38">
        <v>11</v>
      </c>
      <c r="D173" s="41" t="s">
        <v>10</v>
      </c>
      <c r="E173" s="41" t="s">
        <v>197</v>
      </c>
      <c r="F173" s="38"/>
      <c r="G173" s="38"/>
      <c r="H173" s="42">
        <v>45071</v>
      </c>
      <c r="I173" s="43">
        <v>100726.31</v>
      </c>
      <c r="J173" s="38">
        <v>10</v>
      </c>
      <c r="K173" s="39">
        <v>10072</v>
      </c>
      <c r="L173" s="54">
        <f>M173*P173</f>
        <v>27196.293000000001</v>
      </c>
      <c r="M173" s="39">
        <f>(I173-K173)/J173</f>
        <v>9065.4310000000005</v>
      </c>
      <c r="N173" s="39">
        <f>I173-L173</f>
        <v>73530.016999999993</v>
      </c>
      <c r="O173" s="44">
        <v>9156.94</v>
      </c>
      <c r="P173" s="56">
        <v>3</v>
      </c>
    </row>
    <row r="174" spans="1:16" x14ac:dyDescent="0.25">
      <c r="A174" s="34">
        <v>168</v>
      </c>
      <c r="B174" s="41" t="s">
        <v>234</v>
      </c>
      <c r="C174" s="38">
        <v>1</v>
      </c>
      <c r="D174" s="41" t="s">
        <v>11</v>
      </c>
      <c r="E174" s="41" t="s">
        <v>108</v>
      </c>
      <c r="F174" s="38"/>
      <c r="G174" s="38"/>
      <c r="H174" s="42">
        <v>45076</v>
      </c>
      <c r="I174" s="43">
        <v>499</v>
      </c>
      <c r="J174" s="38">
        <v>5</v>
      </c>
      <c r="K174" s="39">
        <v>0</v>
      </c>
      <c r="L174" s="54">
        <f>M174*P174</f>
        <v>299.39999999999998</v>
      </c>
      <c r="M174" s="39">
        <f>(I174-K174)/J174</f>
        <v>99.8</v>
      </c>
      <c r="N174" s="39">
        <f>I174-L174</f>
        <v>199.60000000000002</v>
      </c>
      <c r="O174" s="44"/>
      <c r="P174" s="56">
        <v>3</v>
      </c>
    </row>
    <row r="175" spans="1:16" x14ac:dyDescent="0.25">
      <c r="A175" s="34">
        <v>169</v>
      </c>
      <c r="B175" s="41" t="s">
        <v>235</v>
      </c>
      <c r="C175" s="38">
        <v>1</v>
      </c>
      <c r="D175" s="41" t="s">
        <v>7</v>
      </c>
      <c r="E175" s="41" t="s">
        <v>236</v>
      </c>
      <c r="F175" s="38"/>
      <c r="G175" s="38"/>
      <c r="H175" s="42">
        <v>45079</v>
      </c>
      <c r="I175" s="43">
        <v>1995</v>
      </c>
      <c r="J175" s="38">
        <v>10</v>
      </c>
      <c r="K175" s="39">
        <v>0</v>
      </c>
      <c r="L175" s="54">
        <f>M175*P175</f>
        <v>598.5</v>
      </c>
      <c r="M175" s="39">
        <f>(I175-K175)/J175</f>
        <v>199.5</v>
      </c>
      <c r="N175" s="39">
        <f>I175-L175</f>
        <v>1396.5</v>
      </c>
      <c r="O175" s="44"/>
      <c r="P175" s="56">
        <v>3</v>
      </c>
    </row>
    <row r="176" spans="1:16" x14ac:dyDescent="0.25">
      <c r="A176" s="34">
        <v>170</v>
      </c>
      <c r="B176" s="41" t="s">
        <v>237</v>
      </c>
      <c r="C176" s="38">
        <v>1</v>
      </c>
      <c r="D176" s="41" t="s">
        <v>11</v>
      </c>
      <c r="E176" s="41" t="s">
        <v>238</v>
      </c>
      <c r="F176" s="38"/>
      <c r="G176" s="38"/>
      <c r="H176" s="42">
        <v>45083</v>
      </c>
      <c r="I176" s="43">
        <v>2275.25</v>
      </c>
      <c r="J176" s="38">
        <v>3</v>
      </c>
      <c r="K176" s="39">
        <v>0</v>
      </c>
      <c r="L176" s="54">
        <f>M176*P176</f>
        <v>2275.25</v>
      </c>
      <c r="M176" s="39">
        <f>(I176-K176)/J176</f>
        <v>758.41666666666663</v>
      </c>
      <c r="N176" s="39">
        <f>I176-L176</f>
        <v>0</v>
      </c>
      <c r="O176" s="44"/>
      <c r="P176" s="56">
        <v>3</v>
      </c>
    </row>
    <row r="177" spans="1:16" x14ac:dyDescent="0.25">
      <c r="A177" s="34">
        <v>171</v>
      </c>
      <c r="B177" s="41" t="s">
        <v>44</v>
      </c>
      <c r="C177" s="38">
        <v>1</v>
      </c>
      <c r="D177" s="41" t="s">
        <v>11</v>
      </c>
      <c r="E177" s="41" t="s">
        <v>135</v>
      </c>
      <c r="F177" s="38"/>
      <c r="G177" s="38"/>
      <c r="H177" s="42">
        <v>45083</v>
      </c>
      <c r="I177" s="43">
        <v>10961.5</v>
      </c>
      <c r="J177" s="38">
        <v>3</v>
      </c>
      <c r="K177" s="39">
        <v>0</v>
      </c>
      <c r="L177" s="54">
        <f>M177*P177</f>
        <v>10961.5</v>
      </c>
      <c r="M177" s="39">
        <f>(I177-K177)/J177</f>
        <v>3653.8333333333335</v>
      </c>
      <c r="N177" s="39">
        <f>I177-L177</f>
        <v>0</v>
      </c>
      <c r="O177" s="44"/>
      <c r="P177" s="56">
        <v>3</v>
      </c>
    </row>
    <row r="178" spans="1:16" x14ac:dyDescent="0.25">
      <c r="A178" s="34">
        <v>172</v>
      </c>
      <c r="B178" s="41" t="s">
        <v>239</v>
      </c>
      <c r="C178" s="38">
        <v>1</v>
      </c>
      <c r="D178" s="41" t="s">
        <v>9</v>
      </c>
      <c r="E178" s="41" t="s">
        <v>201</v>
      </c>
      <c r="F178" s="38"/>
      <c r="G178" s="38"/>
      <c r="H178" s="42">
        <v>45086</v>
      </c>
      <c r="I178" s="43">
        <v>1869</v>
      </c>
      <c r="J178" s="38">
        <v>5</v>
      </c>
      <c r="K178" s="39">
        <v>0</v>
      </c>
      <c r="L178" s="54">
        <f>M178*P178</f>
        <v>1121.4000000000001</v>
      </c>
      <c r="M178" s="39">
        <f>(I178-K178)/J178</f>
        <v>373.8</v>
      </c>
      <c r="N178" s="39">
        <f>I178-L178</f>
        <v>747.59999999999991</v>
      </c>
      <c r="O178" s="44"/>
      <c r="P178" s="56">
        <v>3</v>
      </c>
    </row>
    <row r="179" spans="1:16" x14ac:dyDescent="0.25">
      <c r="A179" s="34">
        <v>173</v>
      </c>
      <c r="B179" s="41" t="s">
        <v>240</v>
      </c>
      <c r="C179" s="38">
        <v>1</v>
      </c>
      <c r="D179" s="41" t="s">
        <v>8</v>
      </c>
      <c r="E179" s="41" t="s">
        <v>92</v>
      </c>
      <c r="F179" s="38"/>
      <c r="G179" s="38"/>
      <c r="H179" s="42">
        <v>45093</v>
      </c>
      <c r="I179" s="43">
        <v>1333.63</v>
      </c>
      <c r="J179" s="38">
        <v>4</v>
      </c>
      <c r="K179" s="39">
        <v>0</v>
      </c>
      <c r="L179" s="54">
        <f>M179*P179</f>
        <v>1000.2225000000001</v>
      </c>
      <c r="M179" s="39">
        <f>(I179-K179)/J179</f>
        <v>333.40750000000003</v>
      </c>
      <c r="N179" s="39">
        <f>I179-L179</f>
        <v>333.40750000000003</v>
      </c>
      <c r="O179" s="44" t="s">
        <v>225</v>
      </c>
      <c r="P179" s="56">
        <v>3</v>
      </c>
    </row>
    <row r="180" spans="1:16" x14ac:dyDescent="0.25">
      <c r="A180" s="34">
        <v>174</v>
      </c>
      <c r="B180" s="38" t="s">
        <v>242</v>
      </c>
      <c r="C180" s="38">
        <v>1</v>
      </c>
      <c r="D180" s="41" t="s">
        <v>8</v>
      </c>
      <c r="E180" s="38" t="s">
        <v>189</v>
      </c>
      <c r="F180" s="38"/>
      <c r="G180" s="38"/>
      <c r="H180" s="42">
        <v>45099</v>
      </c>
      <c r="I180" s="43">
        <v>1547</v>
      </c>
      <c r="J180" s="38">
        <v>3</v>
      </c>
      <c r="K180" s="39">
        <v>0</v>
      </c>
      <c r="L180" s="54">
        <f>M180*P180</f>
        <v>1547</v>
      </c>
      <c r="M180" s="39">
        <f>(I180-K180)/J180</f>
        <v>515.66666666666663</v>
      </c>
      <c r="N180" s="39">
        <f>I180-L180</f>
        <v>0</v>
      </c>
      <c r="O180" s="44" t="s">
        <v>243</v>
      </c>
      <c r="P180" s="56">
        <v>3</v>
      </c>
    </row>
    <row r="181" spans="1:16" x14ac:dyDescent="0.25">
      <c r="A181" s="34">
        <v>175</v>
      </c>
      <c r="B181" s="38" t="s">
        <v>244</v>
      </c>
      <c r="C181" s="38">
        <v>2</v>
      </c>
      <c r="D181" s="41" t="s">
        <v>8</v>
      </c>
      <c r="E181" s="38" t="s">
        <v>189</v>
      </c>
      <c r="F181" s="49"/>
      <c r="G181" s="49"/>
      <c r="H181" s="50">
        <v>45099</v>
      </c>
      <c r="I181" s="51">
        <v>407</v>
      </c>
      <c r="J181" s="49">
        <v>3</v>
      </c>
      <c r="K181" s="39">
        <v>0</v>
      </c>
      <c r="L181" s="54">
        <f>M181*P181</f>
        <v>407</v>
      </c>
      <c r="M181" s="39">
        <f>(I181-K181)/J181</f>
        <v>135.66666666666666</v>
      </c>
      <c r="N181" s="39">
        <f>I181-L181</f>
        <v>0</v>
      </c>
      <c r="O181" s="44"/>
      <c r="P181" s="56">
        <v>3</v>
      </c>
    </row>
    <row r="182" spans="1:16" x14ac:dyDescent="0.25">
      <c r="A182" s="34">
        <v>176</v>
      </c>
      <c r="B182" s="38" t="s">
        <v>36</v>
      </c>
      <c r="C182" s="38">
        <v>400</v>
      </c>
      <c r="D182" s="38" t="s">
        <v>10</v>
      </c>
      <c r="E182" s="38" t="s">
        <v>35</v>
      </c>
      <c r="F182" s="38"/>
      <c r="G182" s="38"/>
      <c r="H182" s="42">
        <v>45107</v>
      </c>
      <c r="I182" s="43">
        <v>186000</v>
      </c>
      <c r="J182" s="38">
        <v>7</v>
      </c>
      <c r="K182" s="39">
        <v>18760</v>
      </c>
      <c r="L182" s="54">
        <f>M182*P182</f>
        <v>71674.28571428571</v>
      </c>
      <c r="M182" s="39">
        <f>(I182-K182)/J182</f>
        <v>23891.428571428572</v>
      </c>
      <c r="N182" s="39">
        <f>I182-L182</f>
        <v>114325.71428571429</v>
      </c>
      <c r="O182" s="38" t="s">
        <v>202</v>
      </c>
      <c r="P182" s="56">
        <v>3</v>
      </c>
    </row>
    <row r="183" spans="1:16" x14ac:dyDescent="0.25">
      <c r="A183" s="34">
        <v>177</v>
      </c>
      <c r="B183" s="38" t="s">
        <v>36</v>
      </c>
      <c r="C183" s="38">
        <v>200</v>
      </c>
      <c r="D183" s="38" t="s">
        <v>10</v>
      </c>
      <c r="E183" s="38" t="s">
        <v>35</v>
      </c>
      <c r="F183" s="38"/>
      <c r="G183" s="38"/>
      <c r="H183" s="42">
        <v>45107</v>
      </c>
      <c r="I183" s="43">
        <v>93000</v>
      </c>
      <c r="J183" s="38">
        <v>7</v>
      </c>
      <c r="K183" s="39">
        <v>9300</v>
      </c>
      <c r="L183" s="54">
        <f>M183*P183</f>
        <v>35871.428571428572</v>
      </c>
      <c r="M183" s="39">
        <f>(I183-K183)/J183</f>
        <v>11957.142857142857</v>
      </c>
      <c r="N183" s="39">
        <f>I183-L183</f>
        <v>57128.571428571428</v>
      </c>
      <c r="O183" s="38"/>
      <c r="P183" s="56">
        <v>3</v>
      </c>
    </row>
    <row r="184" spans="1:16" x14ac:dyDescent="0.25">
      <c r="A184" s="34">
        <v>178</v>
      </c>
      <c r="B184" s="38" t="s">
        <v>48</v>
      </c>
      <c r="C184" s="38">
        <v>30</v>
      </c>
      <c r="D184" s="38" t="s">
        <v>10</v>
      </c>
      <c r="E184" s="38" t="s">
        <v>35</v>
      </c>
      <c r="F184" s="38"/>
      <c r="G184" s="38"/>
      <c r="H184" s="42">
        <v>45107</v>
      </c>
      <c r="I184" s="43">
        <v>27830.7</v>
      </c>
      <c r="J184" s="38">
        <v>4</v>
      </c>
      <c r="K184" s="39">
        <v>2783.07</v>
      </c>
      <c r="L184" s="54">
        <f>M184*P184</f>
        <v>18785.7225</v>
      </c>
      <c r="M184" s="39">
        <f>(I184-K184)/J184</f>
        <v>6261.9075000000003</v>
      </c>
      <c r="N184" s="39">
        <f>I184-L184</f>
        <v>9044.9775000000009</v>
      </c>
      <c r="O184" s="38" t="s">
        <v>247</v>
      </c>
      <c r="P184" s="56">
        <v>3</v>
      </c>
    </row>
    <row r="185" spans="1:16" x14ac:dyDescent="0.25">
      <c r="A185" s="34">
        <v>179</v>
      </c>
      <c r="B185" s="38" t="s">
        <v>50</v>
      </c>
      <c r="C185" s="38">
        <v>10</v>
      </c>
      <c r="D185" s="38" t="s">
        <v>10</v>
      </c>
      <c r="E185" s="38" t="s">
        <v>35</v>
      </c>
      <c r="F185" s="38"/>
      <c r="G185" s="38"/>
      <c r="H185" s="42">
        <v>45107</v>
      </c>
      <c r="I185" s="43">
        <v>10633.7</v>
      </c>
      <c r="J185" s="38">
        <v>4</v>
      </c>
      <c r="K185" s="39">
        <v>1063.3699999999999</v>
      </c>
      <c r="L185" s="54">
        <f>M185*P185</f>
        <v>7177.7475000000013</v>
      </c>
      <c r="M185" s="39">
        <f>(I185-K185)/J185</f>
        <v>2392.5825000000004</v>
      </c>
      <c r="N185" s="39">
        <f>I185-L185</f>
        <v>3455.9524999999994</v>
      </c>
      <c r="O185" s="38" t="s">
        <v>248</v>
      </c>
      <c r="P185" s="56">
        <v>3</v>
      </c>
    </row>
    <row r="186" spans="1:16" x14ac:dyDescent="0.25">
      <c r="A186" s="34">
        <v>180</v>
      </c>
      <c r="B186" s="38" t="s">
        <v>52</v>
      </c>
      <c r="C186" s="38">
        <v>10</v>
      </c>
      <c r="D186" s="38" t="s">
        <v>10</v>
      </c>
      <c r="E186" s="38" t="s">
        <v>35</v>
      </c>
      <c r="F186" s="38"/>
      <c r="G186" s="38"/>
      <c r="H186" s="42">
        <v>45107</v>
      </c>
      <c r="I186" s="43">
        <v>15398.6</v>
      </c>
      <c r="J186" s="38">
        <v>4</v>
      </c>
      <c r="K186" s="39">
        <v>1539.86</v>
      </c>
      <c r="L186" s="54">
        <f>M186*P186</f>
        <v>10394.055</v>
      </c>
      <c r="M186" s="39">
        <f>(I186-K186)/J186</f>
        <v>3464.6849999999999</v>
      </c>
      <c r="N186" s="39">
        <f>I186-L186</f>
        <v>5004.5450000000001</v>
      </c>
      <c r="O186" s="38" t="s">
        <v>249</v>
      </c>
      <c r="P186" s="56">
        <v>3</v>
      </c>
    </row>
    <row r="187" spans="1:16" x14ac:dyDescent="0.25">
      <c r="A187" s="34">
        <v>181</v>
      </c>
      <c r="B187" s="38" t="s">
        <v>237</v>
      </c>
      <c r="C187" s="38">
        <v>1</v>
      </c>
      <c r="D187" s="38" t="s">
        <v>11</v>
      </c>
      <c r="E187" s="38" t="s">
        <v>238</v>
      </c>
      <c r="F187" s="38"/>
      <c r="G187" s="38"/>
      <c r="H187" s="42">
        <v>45111</v>
      </c>
      <c r="I187" s="43">
        <v>2275.25</v>
      </c>
      <c r="J187" s="38">
        <v>3</v>
      </c>
      <c r="K187" s="39">
        <v>0</v>
      </c>
      <c r="L187" s="54">
        <f>M187*P187</f>
        <v>1516.8333333333333</v>
      </c>
      <c r="M187" s="39">
        <f>(I187-K187)/J187</f>
        <v>758.41666666666663</v>
      </c>
      <c r="N187" s="39">
        <f>I187-L187</f>
        <v>758.41666666666674</v>
      </c>
      <c r="O187" s="38"/>
      <c r="P187" s="56">
        <v>2</v>
      </c>
    </row>
    <row r="188" spans="1:16" x14ac:dyDescent="0.25">
      <c r="A188" s="34">
        <v>182</v>
      </c>
      <c r="B188" s="38" t="s">
        <v>138</v>
      </c>
      <c r="C188" s="38">
        <v>2</v>
      </c>
      <c r="D188" s="38" t="s">
        <v>11</v>
      </c>
      <c r="E188" s="38" t="s">
        <v>135</v>
      </c>
      <c r="F188" s="38"/>
      <c r="G188" s="38"/>
      <c r="H188" s="42">
        <v>45124</v>
      </c>
      <c r="I188" s="43">
        <v>1160</v>
      </c>
      <c r="J188" s="38">
        <v>5</v>
      </c>
      <c r="K188" s="39">
        <v>116</v>
      </c>
      <c r="L188" s="54">
        <f>M188*P188</f>
        <v>417.6</v>
      </c>
      <c r="M188" s="39">
        <f>(I188-K188)/J188</f>
        <v>208.8</v>
      </c>
      <c r="N188" s="39">
        <f>I188-L188</f>
        <v>742.4</v>
      </c>
      <c r="O188" s="38" t="s">
        <v>245</v>
      </c>
      <c r="P188" s="56">
        <v>2</v>
      </c>
    </row>
    <row r="189" spans="1:16" x14ac:dyDescent="0.25">
      <c r="A189" s="34">
        <v>183</v>
      </c>
      <c r="B189" s="38" t="s">
        <v>233</v>
      </c>
      <c r="C189" s="38">
        <v>2</v>
      </c>
      <c r="D189" s="38" t="s">
        <v>11</v>
      </c>
      <c r="E189" s="38" t="s">
        <v>135</v>
      </c>
      <c r="F189" s="38"/>
      <c r="G189" s="38"/>
      <c r="H189" s="42">
        <v>45124</v>
      </c>
      <c r="I189" s="43">
        <v>960</v>
      </c>
      <c r="J189" s="38">
        <v>5</v>
      </c>
      <c r="K189" s="39">
        <v>96</v>
      </c>
      <c r="L189" s="54">
        <f>M189*P189</f>
        <v>345.6</v>
      </c>
      <c r="M189" s="39">
        <f>(I189-K189)/J189</f>
        <v>172.8</v>
      </c>
      <c r="N189" s="39">
        <f>I189-L189</f>
        <v>614.4</v>
      </c>
      <c r="O189" s="38" t="s">
        <v>246</v>
      </c>
      <c r="P189" s="56">
        <v>2</v>
      </c>
    </row>
    <row r="190" spans="1:16" x14ac:dyDescent="0.25">
      <c r="A190" s="34">
        <v>184</v>
      </c>
      <c r="B190" s="38" t="s">
        <v>233</v>
      </c>
      <c r="C190" s="38">
        <v>2</v>
      </c>
      <c r="D190" s="38" t="s">
        <v>11</v>
      </c>
      <c r="E190" s="38" t="s">
        <v>135</v>
      </c>
      <c r="F190" s="38"/>
      <c r="G190" s="38"/>
      <c r="H190" s="42">
        <v>45131</v>
      </c>
      <c r="I190" s="43">
        <v>960</v>
      </c>
      <c r="J190" s="38">
        <v>5</v>
      </c>
      <c r="K190" s="39">
        <v>96</v>
      </c>
      <c r="L190" s="54">
        <f>M190*P190</f>
        <v>345.6</v>
      </c>
      <c r="M190" s="39">
        <f>(I190-K190)/J190</f>
        <v>172.8</v>
      </c>
      <c r="N190" s="39">
        <f>I190-L190</f>
        <v>614.4</v>
      </c>
      <c r="O190" s="38" t="s">
        <v>246</v>
      </c>
      <c r="P190" s="56">
        <v>2</v>
      </c>
    </row>
    <row r="191" spans="1:16" ht="45" x14ac:dyDescent="0.25">
      <c r="A191" s="34">
        <v>185</v>
      </c>
      <c r="B191" s="41" t="s">
        <v>250</v>
      </c>
      <c r="C191" s="38">
        <v>1</v>
      </c>
      <c r="D191" s="38" t="s">
        <v>11</v>
      </c>
      <c r="E191" s="38" t="s">
        <v>125</v>
      </c>
      <c r="F191" s="38"/>
      <c r="G191" s="38"/>
      <c r="H191" s="42">
        <v>45138</v>
      </c>
      <c r="I191" s="43">
        <v>16556.099999999999</v>
      </c>
      <c r="J191" s="38">
        <v>5</v>
      </c>
      <c r="K191" s="39">
        <v>1655.61</v>
      </c>
      <c r="L191" s="54">
        <f>M191*P191</f>
        <v>5960.195999999999</v>
      </c>
      <c r="M191" s="39">
        <f>(I191-K191)/J191</f>
        <v>2980.0979999999995</v>
      </c>
      <c r="N191" s="39">
        <f>I191-L191</f>
        <v>10595.903999999999</v>
      </c>
      <c r="O191" s="38"/>
      <c r="P191" s="56">
        <v>2</v>
      </c>
    </row>
    <row r="192" spans="1:16" x14ac:dyDescent="0.25">
      <c r="A192" s="34">
        <v>186</v>
      </c>
      <c r="B192" s="38" t="s">
        <v>140</v>
      </c>
      <c r="C192" s="38">
        <v>4</v>
      </c>
      <c r="D192" s="38" t="s">
        <v>11</v>
      </c>
      <c r="E192" s="38" t="s">
        <v>135</v>
      </c>
      <c r="F192" s="38"/>
      <c r="G192" s="38" t="s">
        <v>254</v>
      </c>
      <c r="H192" s="42">
        <v>45140</v>
      </c>
      <c r="I192" s="43">
        <v>4200</v>
      </c>
      <c r="J192" s="38">
        <v>5</v>
      </c>
      <c r="K192" s="39">
        <v>420</v>
      </c>
      <c r="L192" s="54">
        <f>M192*P192</f>
        <v>1512</v>
      </c>
      <c r="M192" s="39">
        <f>(I192-K192)/J192</f>
        <v>756</v>
      </c>
      <c r="N192" s="39">
        <f>I192-L192</f>
        <v>2688</v>
      </c>
      <c r="O192" s="38"/>
      <c r="P192" s="40">
        <v>2</v>
      </c>
    </row>
    <row r="193" spans="1:16" x14ac:dyDescent="0.25">
      <c r="A193" s="34">
        <v>187</v>
      </c>
      <c r="B193" s="41" t="s">
        <v>251</v>
      </c>
      <c r="C193" s="38">
        <v>1</v>
      </c>
      <c r="D193" s="38" t="s">
        <v>11</v>
      </c>
      <c r="E193" s="38" t="s">
        <v>135</v>
      </c>
      <c r="F193" s="38"/>
      <c r="G193" s="38" t="s">
        <v>252</v>
      </c>
      <c r="H193" s="42">
        <v>45142</v>
      </c>
      <c r="I193" s="43">
        <v>10961.5</v>
      </c>
      <c r="J193" s="38">
        <v>3</v>
      </c>
      <c r="K193" s="39">
        <v>0</v>
      </c>
      <c r="L193" s="54">
        <f>M193*P193</f>
        <v>7307.666666666667</v>
      </c>
      <c r="M193" s="39">
        <f>(I193-K193)/J193</f>
        <v>3653.8333333333335</v>
      </c>
      <c r="N193" s="39">
        <f>I193-L193</f>
        <v>3653.833333333333</v>
      </c>
      <c r="O193" s="38"/>
      <c r="P193" s="40">
        <v>2</v>
      </c>
    </row>
    <row r="194" spans="1:16" x14ac:dyDescent="0.25">
      <c r="A194" s="34">
        <v>188</v>
      </c>
      <c r="B194" s="38" t="s">
        <v>251</v>
      </c>
      <c r="C194" s="38">
        <v>2</v>
      </c>
      <c r="D194" s="38" t="s">
        <v>11</v>
      </c>
      <c r="E194" s="38" t="s">
        <v>135</v>
      </c>
      <c r="F194" s="38"/>
      <c r="G194" s="38" t="s">
        <v>253</v>
      </c>
      <c r="H194" s="42">
        <v>45142</v>
      </c>
      <c r="I194" s="43">
        <v>10961.5</v>
      </c>
      <c r="J194" s="38">
        <v>3</v>
      </c>
      <c r="K194" s="39">
        <v>0</v>
      </c>
      <c r="L194" s="54">
        <f>M194*P194</f>
        <v>7307.666666666667</v>
      </c>
      <c r="M194" s="39">
        <f>(I194-K194)/J194</f>
        <v>3653.8333333333335</v>
      </c>
      <c r="N194" s="39">
        <f>I194-L194</f>
        <v>3653.833333333333</v>
      </c>
      <c r="O194" s="38"/>
      <c r="P194" s="40">
        <v>2</v>
      </c>
    </row>
    <row r="195" spans="1:16" x14ac:dyDescent="0.25">
      <c r="A195" s="34">
        <v>189</v>
      </c>
      <c r="B195" s="38" t="s">
        <v>255</v>
      </c>
      <c r="C195" s="38">
        <v>1</v>
      </c>
      <c r="D195" s="38" t="s">
        <v>11</v>
      </c>
      <c r="E195" s="38" t="s">
        <v>35</v>
      </c>
      <c r="F195" s="38"/>
      <c r="G195" s="38" t="s">
        <v>256</v>
      </c>
      <c r="H195" s="42">
        <v>45142</v>
      </c>
      <c r="I195" s="43">
        <v>9693</v>
      </c>
      <c r="J195" s="38">
        <v>5</v>
      </c>
      <c r="K195" s="39">
        <v>420</v>
      </c>
      <c r="L195" s="54">
        <f>M195*P195</f>
        <v>3709.2</v>
      </c>
      <c r="M195" s="39">
        <f>(I195-K195)/J195</f>
        <v>1854.6</v>
      </c>
      <c r="N195" s="39">
        <f>I195-L195</f>
        <v>5983.8</v>
      </c>
      <c r="O195" s="38"/>
      <c r="P195" s="40">
        <v>2</v>
      </c>
    </row>
    <row r="196" spans="1:16" x14ac:dyDescent="0.25">
      <c r="A196" s="34">
        <v>190</v>
      </c>
      <c r="B196" s="38" t="s">
        <v>233</v>
      </c>
      <c r="C196" s="38">
        <v>4</v>
      </c>
      <c r="D196" s="38" t="s">
        <v>11</v>
      </c>
      <c r="E196" s="38" t="s">
        <v>135</v>
      </c>
      <c r="F196" s="38"/>
      <c r="G196" s="38" t="s">
        <v>257</v>
      </c>
      <c r="H196" s="42">
        <v>45146</v>
      </c>
      <c r="I196" s="43">
        <v>1920</v>
      </c>
      <c r="J196" s="38">
        <v>5</v>
      </c>
      <c r="K196" s="39">
        <v>192</v>
      </c>
      <c r="L196" s="54">
        <f>M196*P196</f>
        <v>691.2</v>
      </c>
      <c r="M196" s="39">
        <f>(I196-K196)/J196</f>
        <v>345.6</v>
      </c>
      <c r="N196" s="39">
        <f>I196-L196</f>
        <v>1228.8</v>
      </c>
      <c r="O196" s="38" t="s">
        <v>246</v>
      </c>
      <c r="P196" s="40">
        <v>2</v>
      </c>
    </row>
    <row r="197" spans="1:16" x14ac:dyDescent="0.25">
      <c r="A197" s="34">
        <v>191</v>
      </c>
      <c r="B197" s="38" t="s">
        <v>138</v>
      </c>
      <c r="C197" s="38">
        <v>4</v>
      </c>
      <c r="D197" s="38" t="s">
        <v>11</v>
      </c>
      <c r="E197" s="38" t="s">
        <v>135</v>
      </c>
      <c r="F197" s="38"/>
      <c r="G197" s="38" t="s">
        <v>258</v>
      </c>
      <c r="H197" s="42">
        <v>45146</v>
      </c>
      <c r="I197" s="43">
        <v>2320</v>
      </c>
      <c r="J197" s="38">
        <v>5</v>
      </c>
      <c r="K197" s="39">
        <v>232</v>
      </c>
      <c r="L197" s="54">
        <f>M197*P197</f>
        <v>835.2</v>
      </c>
      <c r="M197" s="39">
        <f>(I197-K197)/J197</f>
        <v>417.6</v>
      </c>
      <c r="N197" s="39">
        <f>I197-L197</f>
        <v>1484.8</v>
      </c>
      <c r="O197" s="38" t="s">
        <v>245</v>
      </c>
      <c r="P197" s="40">
        <v>2</v>
      </c>
    </row>
    <row r="198" spans="1:16" x14ac:dyDescent="0.25">
      <c r="A198" s="34">
        <v>192</v>
      </c>
      <c r="B198" s="38" t="s">
        <v>259</v>
      </c>
      <c r="C198" s="38">
        <v>1</v>
      </c>
      <c r="D198" s="38" t="s">
        <v>11</v>
      </c>
      <c r="E198" s="38" t="s">
        <v>122</v>
      </c>
      <c r="F198" s="38"/>
      <c r="G198" s="38"/>
      <c r="H198" s="42">
        <v>45155</v>
      </c>
      <c r="I198" s="43">
        <v>5956.36</v>
      </c>
      <c r="J198" s="38">
        <v>10</v>
      </c>
      <c r="K198" s="39">
        <v>0</v>
      </c>
      <c r="L198" s="54">
        <f>M198*P198</f>
        <v>1191.2719999999999</v>
      </c>
      <c r="M198" s="39">
        <f>(I198-K198)/J198</f>
        <v>595.63599999999997</v>
      </c>
      <c r="N198" s="39">
        <f>I198-L198</f>
        <v>4765.0879999999997</v>
      </c>
      <c r="O198" s="38"/>
      <c r="P198" s="40">
        <v>2</v>
      </c>
    </row>
    <row r="199" spans="1:16" ht="30" x14ac:dyDescent="0.25">
      <c r="A199" s="34">
        <v>193</v>
      </c>
      <c r="B199" s="41" t="s">
        <v>260</v>
      </c>
      <c r="C199" s="38">
        <v>1</v>
      </c>
      <c r="D199" s="38" t="s">
        <v>11</v>
      </c>
      <c r="E199" s="38" t="s">
        <v>201</v>
      </c>
      <c r="F199" s="38"/>
      <c r="G199" s="38"/>
      <c r="H199" s="42">
        <v>45156</v>
      </c>
      <c r="I199" s="43">
        <v>1060</v>
      </c>
      <c r="J199" s="38">
        <v>5</v>
      </c>
      <c r="K199" s="39">
        <v>0</v>
      </c>
      <c r="L199" s="54">
        <f>M199*P199</f>
        <v>424</v>
      </c>
      <c r="M199" s="39">
        <f>(I199-K199)/J199</f>
        <v>212</v>
      </c>
      <c r="N199" s="39">
        <f>I199-L199</f>
        <v>636</v>
      </c>
      <c r="O199" s="38"/>
      <c r="P199" s="40">
        <v>2</v>
      </c>
    </row>
    <row r="200" spans="1:16" x14ac:dyDescent="0.25">
      <c r="A200" s="34">
        <v>194</v>
      </c>
      <c r="B200" s="38" t="s">
        <v>264</v>
      </c>
      <c r="C200" s="38">
        <v>1</v>
      </c>
      <c r="D200" s="38" t="s">
        <v>11</v>
      </c>
      <c r="E200" s="38" t="s">
        <v>135</v>
      </c>
      <c r="F200" s="38"/>
      <c r="G200" s="38"/>
      <c r="H200" s="42">
        <v>45156</v>
      </c>
      <c r="I200" s="43">
        <v>10961.5</v>
      </c>
      <c r="J200" s="38">
        <v>3</v>
      </c>
      <c r="K200" s="39">
        <v>0</v>
      </c>
      <c r="L200" s="54">
        <f>M200*P200</f>
        <v>7307.666666666667</v>
      </c>
      <c r="M200" s="39">
        <f>(I200-K200)/J200</f>
        <v>3653.8333333333335</v>
      </c>
      <c r="N200" s="39">
        <f>I200-L200</f>
        <v>3653.833333333333</v>
      </c>
      <c r="O200" s="38"/>
      <c r="P200" s="40">
        <v>2</v>
      </c>
    </row>
    <row r="201" spans="1:16" ht="45" x14ac:dyDescent="0.25">
      <c r="A201" s="34">
        <v>195</v>
      </c>
      <c r="B201" s="41" t="s">
        <v>250</v>
      </c>
      <c r="C201" s="38">
        <v>1</v>
      </c>
      <c r="D201" s="38" t="s">
        <v>11</v>
      </c>
      <c r="E201" s="38" t="s">
        <v>125</v>
      </c>
      <c r="F201" s="38"/>
      <c r="G201" s="38"/>
      <c r="H201" s="42">
        <v>45159</v>
      </c>
      <c r="I201" s="43">
        <v>16556.099999999999</v>
      </c>
      <c r="J201" s="38">
        <v>5</v>
      </c>
      <c r="K201" s="39">
        <v>1655.61</v>
      </c>
      <c r="L201" s="54">
        <f>M201*P201</f>
        <v>5960.195999999999</v>
      </c>
      <c r="M201" s="39">
        <f>(I201-K201)/J201</f>
        <v>2980.0979999999995</v>
      </c>
      <c r="N201" s="39">
        <f>I201-L201</f>
        <v>10595.903999999999</v>
      </c>
      <c r="O201" s="38"/>
      <c r="P201" s="40">
        <v>2</v>
      </c>
    </row>
    <row r="202" spans="1:16" x14ac:dyDescent="0.25">
      <c r="A202" s="34">
        <v>196</v>
      </c>
      <c r="B202" s="38" t="s">
        <v>261</v>
      </c>
      <c r="C202" s="38">
        <v>2</v>
      </c>
      <c r="D202" s="38" t="s">
        <v>11</v>
      </c>
      <c r="E202" s="38" t="s">
        <v>262</v>
      </c>
      <c r="F202" s="38"/>
      <c r="G202" s="38"/>
      <c r="H202" s="42">
        <v>45161</v>
      </c>
      <c r="I202" s="43">
        <v>5606.6</v>
      </c>
      <c r="J202" s="38">
        <v>5</v>
      </c>
      <c r="K202" s="39">
        <v>0</v>
      </c>
      <c r="L202" s="54">
        <f>M202*P202</f>
        <v>2242.6400000000003</v>
      </c>
      <c r="M202" s="39">
        <f>(I202-K202)/J202</f>
        <v>1121.3200000000002</v>
      </c>
      <c r="N202" s="39">
        <f>I202-L202</f>
        <v>3363.96</v>
      </c>
      <c r="O202" s="38" t="s">
        <v>263</v>
      </c>
      <c r="P202" s="40">
        <v>2</v>
      </c>
    </row>
    <row r="203" spans="1:16" x14ac:dyDescent="0.25">
      <c r="A203" s="34">
        <v>197</v>
      </c>
      <c r="B203" s="38" t="s">
        <v>265</v>
      </c>
      <c r="C203" s="38">
        <v>1</v>
      </c>
      <c r="D203" s="38" t="s">
        <v>8</v>
      </c>
      <c r="E203" s="38" t="s">
        <v>92</v>
      </c>
      <c r="F203" s="38"/>
      <c r="G203" s="38"/>
      <c r="H203" s="42">
        <v>45166</v>
      </c>
      <c r="I203" s="43">
        <v>795</v>
      </c>
      <c r="J203" s="38">
        <v>3</v>
      </c>
      <c r="K203" s="39">
        <v>0</v>
      </c>
      <c r="L203" s="54">
        <f>M203*P203</f>
        <v>530</v>
      </c>
      <c r="M203" s="39">
        <f>(I203-K203)/J203</f>
        <v>265</v>
      </c>
      <c r="N203" s="39">
        <f>I203-L203</f>
        <v>265</v>
      </c>
      <c r="O203" s="38"/>
      <c r="P203" s="40">
        <v>2</v>
      </c>
    </row>
    <row r="204" spans="1:16" x14ac:dyDescent="0.25">
      <c r="A204" s="34">
        <v>198</v>
      </c>
      <c r="B204" s="38" t="s">
        <v>266</v>
      </c>
      <c r="C204" s="38">
        <v>1</v>
      </c>
      <c r="D204" s="38" t="s">
        <v>11</v>
      </c>
      <c r="E204" s="38" t="s">
        <v>267</v>
      </c>
      <c r="F204" s="38"/>
      <c r="G204" s="38"/>
      <c r="H204" s="42">
        <v>45167</v>
      </c>
      <c r="I204" s="43">
        <v>2495</v>
      </c>
      <c r="J204" s="38">
        <v>5</v>
      </c>
      <c r="K204" s="39">
        <v>0</v>
      </c>
      <c r="L204" s="54">
        <f>M204*P204</f>
        <v>998</v>
      </c>
      <c r="M204" s="39">
        <f>(I204-K204)/J204</f>
        <v>499</v>
      </c>
      <c r="N204" s="39">
        <f>I204-L204</f>
        <v>1497</v>
      </c>
      <c r="O204" s="38"/>
      <c r="P204" s="40">
        <v>2</v>
      </c>
    </row>
    <row r="205" spans="1:16" x14ac:dyDescent="0.25">
      <c r="A205" s="34">
        <v>199</v>
      </c>
      <c r="B205" s="38" t="s">
        <v>138</v>
      </c>
      <c r="C205" s="38">
        <v>4</v>
      </c>
      <c r="D205" s="38" t="s">
        <v>11</v>
      </c>
      <c r="E205" s="38" t="s">
        <v>135</v>
      </c>
      <c r="F205" s="38"/>
      <c r="G205" s="38"/>
      <c r="H205" s="42">
        <v>45174</v>
      </c>
      <c r="I205" s="43">
        <v>2320</v>
      </c>
      <c r="J205" s="38">
        <v>5</v>
      </c>
      <c r="K205" s="39">
        <v>232</v>
      </c>
      <c r="L205" s="54">
        <f>M205*P205</f>
        <v>835.2</v>
      </c>
      <c r="M205" s="39">
        <f>(I205-K205)/J205</f>
        <v>417.6</v>
      </c>
      <c r="N205" s="39">
        <f>I205-L205</f>
        <v>1484.8</v>
      </c>
      <c r="O205" s="38"/>
      <c r="P205" s="40">
        <v>2</v>
      </c>
    </row>
    <row r="206" spans="1:16" x14ac:dyDescent="0.25">
      <c r="A206" s="34">
        <v>200</v>
      </c>
      <c r="B206" s="38" t="s">
        <v>264</v>
      </c>
      <c r="C206" s="38">
        <v>1</v>
      </c>
      <c r="D206" s="38" t="s">
        <v>11</v>
      </c>
      <c r="E206" s="38" t="s">
        <v>135</v>
      </c>
      <c r="F206" s="38"/>
      <c r="G206" s="38"/>
      <c r="H206" s="42">
        <v>45202</v>
      </c>
      <c r="I206" s="43">
        <v>10961.5</v>
      </c>
      <c r="J206" s="38">
        <v>3</v>
      </c>
      <c r="K206" s="39">
        <v>0</v>
      </c>
      <c r="L206" s="54">
        <f>M206*P206</f>
        <v>7307.666666666667</v>
      </c>
      <c r="M206" s="39">
        <f>(I206-K206)/J206</f>
        <v>3653.8333333333335</v>
      </c>
      <c r="N206" s="39">
        <f>I206-L206</f>
        <v>3653.833333333333</v>
      </c>
      <c r="O206" s="38"/>
      <c r="P206" s="40">
        <v>2</v>
      </c>
    </row>
    <row r="207" spans="1:16" x14ac:dyDescent="0.25">
      <c r="A207" s="34">
        <v>201</v>
      </c>
      <c r="B207" s="38" t="s">
        <v>268</v>
      </c>
      <c r="C207" s="38">
        <v>1</v>
      </c>
      <c r="D207" s="38" t="s">
        <v>11</v>
      </c>
      <c r="E207" s="38" t="s">
        <v>108</v>
      </c>
      <c r="F207" s="38"/>
      <c r="G207" s="38"/>
      <c r="H207" s="42">
        <v>45203</v>
      </c>
      <c r="I207" s="43">
        <v>1087.27</v>
      </c>
      <c r="J207" s="38">
        <v>3</v>
      </c>
      <c r="K207" s="39">
        <v>0</v>
      </c>
      <c r="L207" s="54">
        <f>M207*P207</f>
        <v>724.84666666666669</v>
      </c>
      <c r="M207" s="39">
        <f>(I207-K207)/J207</f>
        <v>362.42333333333335</v>
      </c>
      <c r="N207" s="39">
        <f>I207-L207</f>
        <v>362.42333333333329</v>
      </c>
      <c r="O207" s="38"/>
      <c r="P207" s="40">
        <v>2</v>
      </c>
    </row>
    <row r="208" spans="1:16" x14ac:dyDescent="0.25">
      <c r="A208" s="34">
        <v>202</v>
      </c>
      <c r="B208" s="41" t="s">
        <v>269</v>
      </c>
      <c r="C208" s="38">
        <v>1</v>
      </c>
      <c r="D208" s="38" t="s">
        <v>11</v>
      </c>
      <c r="E208" s="38" t="s">
        <v>125</v>
      </c>
      <c r="F208" s="38"/>
      <c r="G208" s="38"/>
      <c r="H208" s="42">
        <v>45205</v>
      </c>
      <c r="I208" s="43">
        <v>7980</v>
      </c>
      <c r="J208" s="38">
        <v>5</v>
      </c>
      <c r="K208" s="39">
        <v>798</v>
      </c>
      <c r="L208" s="54">
        <f>M208*P208</f>
        <v>2872.8</v>
      </c>
      <c r="M208" s="39">
        <f>(I208-K208)/J208</f>
        <v>1436.4</v>
      </c>
      <c r="N208" s="39">
        <f>I208-L208</f>
        <v>5107.2</v>
      </c>
      <c r="O208" s="38"/>
      <c r="P208" s="40">
        <v>2</v>
      </c>
    </row>
    <row r="209" spans="1:16" x14ac:dyDescent="0.25">
      <c r="A209" s="34">
        <v>203</v>
      </c>
      <c r="B209" s="38" t="s">
        <v>264</v>
      </c>
      <c r="C209" s="38">
        <v>1</v>
      </c>
      <c r="D209" s="38" t="s">
        <v>11</v>
      </c>
      <c r="E209" s="38" t="s">
        <v>135</v>
      </c>
      <c r="F209" s="38"/>
      <c r="G209" s="38"/>
      <c r="H209" s="42">
        <v>45219</v>
      </c>
      <c r="I209" s="43">
        <v>10961.5</v>
      </c>
      <c r="J209" s="38">
        <v>3</v>
      </c>
      <c r="K209" s="39">
        <v>0</v>
      </c>
      <c r="L209" s="54">
        <f>M209*P209</f>
        <v>7307.666666666667</v>
      </c>
      <c r="M209" s="39">
        <f>(I209-K209)/J209</f>
        <v>3653.8333333333335</v>
      </c>
      <c r="N209" s="39">
        <f>I209-L209</f>
        <v>3653.833333333333</v>
      </c>
      <c r="O209" s="38"/>
      <c r="P209" s="40">
        <v>2</v>
      </c>
    </row>
    <row r="210" spans="1:16" ht="30" x14ac:dyDescent="0.25">
      <c r="A210" s="34">
        <v>204</v>
      </c>
      <c r="B210" s="41" t="s">
        <v>277</v>
      </c>
      <c r="C210" s="38"/>
      <c r="D210" s="38" t="s">
        <v>11</v>
      </c>
      <c r="E210" s="38" t="s">
        <v>125</v>
      </c>
      <c r="F210" s="38"/>
      <c r="G210" s="38"/>
      <c r="H210" s="42">
        <v>45224</v>
      </c>
      <c r="I210" s="43">
        <v>10318</v>
      </c>
      <c r="J210" s="38">
        <v>5</v>
      </c>
      <c r="K210" s="39">
        <v>1031.8</v>
      </c>
      <c r="L210" s="54">
        <f>M210*P210</f>
        <v>3714.4800000000005</v>
      </c>
      <c r="M210" s="39">
        <f>(I210-K210)/J210</f>
        <v>1857.2400000000002</v>
      </c>
      <c r="N210" s="39">
        <f>I210-L210</f>
        <v>6603.5199999999995</v>
      </c>
      <c r="O210" s="38"/>
      <c r="P210" s="40">
        <v>2</v>
      </c>
    </row>
    <row r="211" spans="1:16" ht="45" x14ac:dyDescent="0.25">
      <c r="A211" s="34">
        <v>205</v>
      </c>
      <c r="B211" s="41" t="s">
        <v>278</v>
      </c>
      <c r="C211" s="38">
        <v>1</v>
      </c>
      <c r="D211" s="38" t="s">
        <v>11</v>
      </c>
      <c r="E211" s="38" t="s">
        <v>125</v>
      </c>
      <c r="F211" s="38"/>
      <c r="G211" s="38"/>
      <c r="H211" s="42">
        <v>45230</v>
      </c>
      <c r="I211" s="43">
        <v>16305</v>
      </c>
      <c r="J211" s="38">
        <v>5</v>
      </c>
      <c r="K211" s="39">
        <v>1630.5</v>
      </c>
      <c r="L211" s="54">
        <f>M211*P211</f>
        <v>5869.8</v>
      </c>
      <c r="M211" s="39">
        <f>(I211-K211)/J211</f>
        <v>2934.9</v>
      </c>
      <c r="N211" s="39">
        <f>I211-L211</f>
        <v>10435.200000000001</v>
      </c>
      <c r="O211" s="38"/>
      <c r="P211" s="40">
        <v>2</v>
      </c>
    </row>
    <row r="212" spans="1:16" x14ac:dyDescent="0.25">
      <c r="A212" s="34">
        <v>206</v>
      </c>
      <c r="B212" s="38" t="s">
        <v>279</v>
      </c>
      <c r="C212" s="38">
        <v>1</v>
      </c>
      <c r="D212" s="38" t="s">
        <v>11</v>
      </c>
      <c r="E212" s="38" t="s">
        <v>201</v>
      </c>
      <c r="F212" s="38"/>
      <c r="G212" s="38"/>
      <c r="H212" s="42">
        <v>45230</v>
      </c>
      <c r="I212" s="43">
        <v>963.64</v>
      </c>
      <c r="J212" s="38">
        <v>3</v>
      </c>
      <c r="K212" s="39">
        <v>0</v>
      </c>
      <c r="L212" s="54">
        <f>M212*P212</f>
        <v>642.42666666666662</v>
      </c>
      <c r="M212" s="39">
        <f>(I212-K212)/J212</f>
        <v>321.21333333333331</v>
      </c>
      <c r="N212" s="39">
        <f>I212-L212</f>
        <v>321.21333333333337</v>
      </c>
      <c r="O212" s="38"/>
      <c r="P212" s="40">
        <v>2</v>
      </c>
    </row>
    <row r="213" spans="1:16" x14ac:dyDescent="0.25">
      <c r="A213" s="34">
        <v>207</v>
      </c>
      <c r="B213" s="38" t="s">
        <v>138</v>
      </c>
      <c r="C213" s="38">
        <v>4</v>
      </c>
      <c r="D213" s="38" t="s">
        <v>11</v>
      </c>
      <c r="E213" s="38" t="s">
        <v>125</v>
      </c>
      <c r="F213" s="38"/>
      <c r="G213" s="38"/>
      <c r="H213" s="42">
        <v>45232</v>
      </c>
      <c r="I213" s="43">
        <v>2320</v>
      </c>
      <c r="J213" s="38">
        <v>5</v>
      </c>
      <c r="K213" s="39">
        <v>232</v>
      </c>
      <c r="L213" s="54">
        <f>M213*P213</f>
        <v>835.2</v>
      </c>
      <c r="M213" s="39">
        <f>(I213-K213)/J213</f>
        <v>417.6</v>
      </c>
      <c r="N213" s="39">
        <f>I213-L213</f>
        <v>1484.8</v>
      </c>
      <c r="O213" s="38"/>
      <c r="P213" s="40">
        <v>2</v>
      </c>
    </row>
    <row r="214" spans="1:16" x14ac:dyDescent="0.25">
      <c r="A214" s="34">
        <v>208</v>
      </c>
      <c r="B214" s="38" t="s">
        <v>270</v>
      </c>
      <c r="C214" s="38">
        <v>4</v>
      </c>
      <c r="D214" s="38" t="s">
        <v>11</v>
      </c>
      <c r="E214" s="38" t="s">
        <v>125</v>
      </c>
      <c r="F214" s="38"/>
      <c r="G214" s="38"/>
      <c r="H214" s="42">
        <v>45232</v>
      </c>
      <c r="I214" s="43">
        <v>1920</v>
      </c>
      <c r="J214" s="38">
        <v>5</v>
      </c>
      <c r="K214" s="39">
        <v>192</v>
      </c>
      <c r="L214" s="54">
        <f>M214*P214</f>
        <v>691.2</v>
      </c>
      <c r="M214" s="39">
        <f>(I214-K214)/J214</f>
        <v>345.6</v>
      </c>
      <c r="N214" s="39">
        <f>I214-L214</f>
        <v>1228.8</v>
      </c>
      <c r="O214" s="38"/>
      <c r="P214" s="40">
        <v>2</v>
      </c>
    </row>
    <row r="215" spans="1:16" x14ac:dyDescent="0.25">
      <c r="A215" s="34">
        <v>209</v>
      </c>
      <c r="B215" s="38" t="s">
        <v>271</v>
      </c>
      <c r="C215" s="38"/>
      <c r="D215" s="38" t="s">
        <v>11</v>
      </c>
      <c r="E215" s="38" t="s">
        <v>272</v>
      </c>
      <c r="F215" s="38"/>
      <c r="G215" s="38"/>
      <c r="H215" s="42">
        <v>45258</v>
      </c>
      <c r="I215" s="43">
        <v>19401.45</v>
      </c>
      <c r="J215" s="38">
        <v>5</v>
      </c>
      <c r="K215" s="39">
        <v>1940.15</v>
      </c>
      <c r="L215" s="54">
        <f>M215*P215</f>
        <v>6984.5199999999995</v>
      </c>
      <c r="M215" s="39">
        <f>(I215-K215)/J215</f>
        <v>3492.2599999999998</v>
      </c>
      <c r="N215" s="39">
        <f>I215-L215</f>
        <v>12416.93</v>
      </c>
      <c r="O215" s="38"/>
      <c r="P215" s="40">
        <v>2</v>
      </c>
    </row>
    <row r="216" spans="1:16" x14ac:dyDescent="0.25">
      <c r="A216" s="34">
        <v>210</v>
      </c>
      <c r="B216" s="38" t="s">
        <v>273</v>
      </c>
      <c r="C216" s="38"/>
      <c r="D216" s="38" t="s">
        <v>11</v>
      </c>
      <c r="E216" s="38" t="s">
        <v>272</v>
      </c>
      <c r="F216" s="38"/>
      <c r="G216" s="38"/>
      <c r="H216" s="42">
        <v>45258</v>
      </c>
      <c r="I216" s="43">
        <v>59549.85</v>
      </c>
      <c r="J216" s="38">
        <v>5</v>
      </c>
      <c r="K216" s="39">
        <v>5954.98</v>
      </c>
      <c r="L216" s="54">
        <f>M216*P216</f>
        <v>21437.947999999997</v>
      </c>
      <c r="M216" s="39">
        <f>(I216-K216)/J216</f>
        <v>10718.973999999998</v>
      </c>
      <c r="N216" s="39">
        <f>I216-L216</f>
        <v>38111.902000000002</v>
      </c>
      <c r="O216" s="38"/>
      <c r="P216" s="40">
        <v>2</v>
      </c>
    </row>
    <row r="217" spans="1:16" x14ac:dyDescent="0.25">
      <c r="A217" s="34">
        <v>211</v>
      </c>
      <c r="B217" s="38" t="s">
        <v>274</v>
      </c>
      <c r="C217" s="38">
        <v>1</v>
      </c>
      <c r="D217" s="38" t="s">
        <v>8</v>
      </c>
      <c r="E217" s="38" t="s">
        <v>92</v>
      </c>
      <c r="F217" s="38"/>
      <c r="G217" s="38"/>
      <c r="H217" s="42">
        <v>45258</v>
      </c>
      <c r="I217" s="43">
        <v>2417.27</v>
      </c>
      <c r="J217" s="38">
        <v>3</v>
      </c>
      <c r="K217" s="39">
        <v>0</v>
      </c>
      <c r="L217" s="54">
        <f>M217*P217</f>
        <v>1611.5133333333333</v>
      </c>
      <c r="M217" s="39">
        <f>(I217-K217)/J217</f>
        <v>805.75666666666666</v>
      </c>
      <c r="N217" s="39">
        <f>I217-L217</f>
        <v>805.75666666666666</v>
      </c>
      <c r="O217" s="38" t="s">
        <v>275</v>
      </c>
      <c r="P217" s="40">
        <v>2</v>
      </c>
    </row>
    <row r="218" spans="1:16" x14ac:dyDescent="0.25">
      <c r="A218" s="34">
        <v>212</v>
      </c>
      <c r="B218" s="38" t="s">
        <v>274</v>
      </c>
      <c r="C218" s="38">
        <v>1</v>
      </c>
      <c r="D218" s="38" t="s">
        <v>8</v>
      </c>
      <c r="E218" s="38" t="s">
        <v>92</v>
      </c>
      <c r="F218" s="38"/>
      <c r="G218" s="38"/>
      <c r="H218" s="42">
        <v>45265</v>
      </c>
      <c r="I218" s="43">
        <v>2417.27</v>
      </c>
      <c r="J218" s="38">
        <v>3</v>
      </c>
      <c r="K218" s="39">
        <v>0</v>
      </c>
      <c r="L218" s="54">
        <f>M218*P218</f>
        <v>1611.5133333333333</v>
      </c>
      <c r="M218" s="39">
        <f>(I218-K218)/J218</f>
        <v>805.75666666666666</v>
      </c>
      <c r="N218" s="39">
        <f>I218-L218</f>
        <v>805.75666666666666</v>
      </c>
      <c r="O218" s="38" t="s">
        <v>276</v>
      </c>
      <c r="P218" s="40">
        <v>2</v>
      </c>
    </row>
    <row r="219" spans="1:16" x14ac:dyDescent="0.25">
      <c r="A219" s="34">
        <v>213</v>
      </c>
      <c r="B219" s="38" t="s">
        <v>282</v>
      </c>
      <c r="C219" s="38">
        <v>1</v>
      </c>
      <c r="D219" s="38" t="s">
        <v>11</v>
      </c>
      <c r="E219" s="38" t="s">
        <v>112</v>
      </c>
      <c r="F219" s="38"/>
      <c r="G219" s="38"/>
      <c r="H219" s="42">
        <v>45310</v>
      </c>
      <c r="I219" s="43">
        <v>1165.23</v>
      </c>
      <c r="J219" s="38">
        <v>5</v>
      </c>
      <c r="K219" s="39">
        <v>0</v>
      </c>
      <c r="L219" s="54">
        <f>M219*P219</f>
        <v>466.09199999999998</v>
      </c>
      <c r="M219" s="39">
        <f>(I219-K219)/J219</f>
        <v>233.04599999999999</v>
      </c>
      <c r="N219" s="39">
        <f>I219-L219</f>
        <v>699.13800000000003</v>
      </c>
      <c r="O219" s="38"/>
      <c r="P219" s="40">
        <v>2</v>
      </c>
    </row>
    <row r="220" spans="1:16" ht="45" x14ac:dyDescent="0.25">
      <c r="A220" s="34">
        <v>214</v>
      </c>
      <c r="B220" s="41" t="s">
        <v>280</v>
      </c>
      <c r="C220" s="38">
        <v>1</v>
      </c>
      <c r="D220" s="38" t="s">
        <v>8</v>
      </c>
      <c r="E220" s="38" t="s">
        <v>92</v>
      </c>
      <c r="F220" s="38"/>
      <c r="G220" s="38"/>
      <c r="H220" s="42">
        <v>45313</v>
      </c>
      <c r="I220" s="43">
        <v>5389</v>
      </c>
      <c r="J220" s="38">
        <v>3</v>
      </c>
      <c r="K220" s="39">
        <v>0</v>
      </c>
      <c r="L220" s="54">
        <f>M220*P220</f>
        <v>3592.6666666666665</v>
      </c>
      <c r="M220" s="39">
        <f>(I220-K220)/J220</f>
        <v>1796.3333333333333</v>
      </c>
      <c r="N220" s="39">
        <f>I220-L220</f>
        <v>1796.3333333333335</v>
      </c>
      <c r="O220" s="38" t="s">
        <v>281</v>
      </c>
      <c r="P220" s="40">
        <v>2</v>
      </c>
    </row>
    <row r="221" spans="1:16" x14ac:dyDescent="0.25">
      <c r="A221" s="34">
        <v>215</v>
      </c>
      <c r="B221" s="38" t="s">
        <v>283</v>
      </c>
      <c r="C221" s="38">
        <v>1</v>
      </c>
      <c r="D221" s="38" t="s">
        <v>8</v>
      </c>
      <c r="E221" s="38" t="s">
        <v>189</v>
      </c>
      <c r="F221" s="38"/>
      <c r="G221" s="38"/>
      <c r="H221" s="42">
        <v>45314</v>
      </c>
      <c r="I221" s="43">
        <v>996</v>
      </c>
      <c r="J221" s="38">
        <v>3</v>
      </c>
      <c r="K221" s="39">
        <v>0</v>
      </c>
      <c r="L221" s="54">
        <f>M221*P221</f>
        <v>664</v>
      </c>
      <c r="M221" s="39">
        <f>(I221-K221)/J221</f>
        <v>332</v>
      </c>
      <c r="N221" s="39">
        <f>I221-L221</f>
        <v>332</v>
      </c>
      <c r="O221" s="38" t="s">
        <v>284</v>
      </c>
      <c r="P221" s="40">
        <v>2</v>
      </c>
    </row>
    <row r="222" spans="1:16" x14ac:dyDescent="0.25">
      <c r="A222" s="34">
        <v>216</v>
      </c>
      <c r="B222" s="38" t="s">
        <v>285</v>
      </c>
      <c r="C222" s="38">
        <v>2</v>
      </c>
      <c r="D222" s="38" t="s">
        <v>8</v>
      </c>
      <c r="E222" s="38" t="s">
        <v>189</v>
      </c>
      <c r="F222" s="38"/>
      <c r="G222" s="38"/>
      <c r="H222" s="42">
        <v>45321</v>
      </c>
      <c r="I222" s="43">
        <v>1397</v>
      </c>
      <c r="J222" s="38">
        <v>3</v>
      </c>
      <c r="K222" s="39">
        <v>0</v>
      </c>
      <c r="L222" s="54">
        <f>M222*P222</f>
        <v>931.33333333333337</v>
      </c>
      <c r="M222" s="39">
        <f>(I222-K222)/J222</f>
        <v>465.66666666666669</v>
      </c>
      <c r="N222" s="39">
        <f>I222-L222</f>
        <v>465.66666666666663</v>
      </c>
      <c r="O222" s="38" t="s">
        <v>286</v>
      </c>
      <c r="P222" s="40">
        <v>2</v>
      </c>
    </row>
    <row r="223" spans="1:16" ht="45" x14ac:dyDescent="0.25">
      <c r="A223" s="34">
        <v>217</v>
      </c>
      <c r="B223" s="41" t="s">
        <v>280</v>
      </c>
      <c r="C223" s="38">
        <v>1</v>
      </c>
      <c r="D223" s="38" t="s">
        <v>8</v>
      </c>
      <c r="E223" s="38" t="s">
        <v>92</v>
      </c>
      <c r="F223" s="38"/>
      <c r="G223" s="38"/>
      <c r="H223" s="42">
        <v>45334</v>
      </c>
      <c r="I223" s="43">
        <v>5389</v>
      </c>
      <c r="J223" s="38">
        <v>3</v>
      </c>
      <c r="K223" s="39">
        <v>0</v>
      </c>
      <c r="L223" s="54">
        <f>M223*P223</f>
        <v>3592.6666666666665</v>
      </c>
      <c r="M223" s="39">
        <f>(I223-K223)/J223</f>
        <v>1796.3333333333333</v>
      </c>
      <c r="N223" s="39">
        <f>I223-L223</f>
        <v>1796.3333333333335</v>
      </c>
      <c r="O223" s="38" t="s">
        <v>287</v>
      </c>
      <c r="P223" s="40">
        <v>2</v>
      </c>
    </row>
    <row r="224" spans="1:16" ht="30" x14ac:dyDescent="0.25">
      <c r="A224" s="34">
        <v>218</v>
      </c>
      <c r="B224" s="41" t="s">
        <v>288</v>
      </c>
      <c r="C224" s="38">
        <v>1</v>
      </c>
      <c r="D224" s="38" t="s">
        <v>8</v>
      </c>
      <c r="E224" s="38" t="s">
        <v>92</v>
      </c>
      <c r="F224" s="38"/>
      <c r="G224" s="38"/>
      <c r="H224" s="42">
        <v>45338</v>
      </c>
      <c r="I224" s="43">
        <v>3198</v>
      </c>
      <c r="J224" s="38">
        <v>3</v>
      </c>
      <c r="K224" s="39">
        <v>0</v>
      </c>
      <c r="L224" s="54">
        <f>M224*P224</f>
        <v>2132</v>
      </c>
      <c r="M224" s="39">
        <f>(I224-K224)/J224</f>
        <v>1066</v>
      </c>
      <c r="N224" s="39">
        <f>I224-L224</f>
        <v>1066</v>
      </c>
      <c r="O224" s="38" t="s">
        <v>289</v>
      </c>
      <c r="P224" s="40">
        <v>2</v>
      </c>
    </row>
    <row r="225" spans="1:16" x14ac:dyDescent="0.25">
      <c r="A225" s="34">
        <v>219</v>
      </c>
      <c r="B225" s="38" t="s">
        <v>290</v>
      </c>
      <c r="C225" s="38">
        <v>15</v>
      </c>
      <c r="D225" s="38" t="s">
        <v>11</v>
      </c>
      <c r="E225" s="38" t="s">
        <v>189</v>
      </c>
      <c r="F225" s="38"/>
      <c r="G225" s="38"/>
      <c r="H225" s="42">
        <v>45338</v>
      </c>
      <c r="I225" s="43">
        <v>4485</v>
      </c>
      <c r="J225" s="38">
        <v>5</v>
      </c>
      <c r="K225" s="39">
        <v>0</v>
      </c>
      <c r="L225" s="54">
        <f>M225*P225</f>
        <v>1794</v>
      </c>
      <c r="M225" s="39">
        <f>(I225-K225)/J225</f>
        <v>897</v>
      </c>
      <c r="N225" s="39">
        <f>I225-L225</f>
        <v>2691</v>
      </c>
      <c r="O225" s="38"/>
      <c r="P225" s="40">
        <v>2</v>
      </c>
    </row>
    <row r="226" spans="1:16" x14ac:dyDescent="0.25">
      <c r="A226" s="34">
        <v>220</v>
      </c>
      <c r="B226" s="38" t="s">
        <v>291</v>
      </c>
      <c r="C226" s="38">
        <v>1</v>
      </c>
      <c r="D226" s="38" t="s">
        <v>11</v>
      </c>
      <c r="E226" s="38" t="s">
        <v>292</v>
      </c>
      <c r="F226" s="38"/>
      <c r="G226" s="38"/>
      <c r="H226" s="42">
        <v>45351</v>
      </c>
      <c r="I226" s="43">
        <v>4870</v>
      </c>
      <c r="J226" s="38">
        <v>3</v>
      </c>
      <c r="K226" s="39">
        <v>0</v>
      </c>
      <c r="L226" s="54">
        <f>M226*P226</f>
        <v>3246.6666666666665</v>
      </c>
      <c r="M226" s="39">
        <f>(I226-K226)/J226</f>
        <v>1623.3333333333333</v>
      </c>
      <c r="N226" s="39">
        <f>I226-L226</f>
        <v>1623.3333333333335</v>
      </c>
      <c r="O226" s="38"/>
      <c r="P226" s="40">
        <v>2</v>
      </c>
    </row>
    <row r="227" spans="1:16" x14ac:dyDescent="0.25">
      <c r="A227" s="34">
        <v>221</v>
      </c>
      <c r="B227" s="38" t="s">
        <v>293</v>
      </c>
      <c r="C227" s="38">
        <v>1</v>
      </c>
      <c r="D227" s="38" t="s">
        <v>11</v>
      </c>
      <c r="E227" s="38" t="s">
        <v>125</v>
      </c>
      <c r="F227" s="38"/>
      <c r="G227" s="38"/>
      <c r="H227" s="42">
        <v>45351</v>
      </c>
      <c r="I227" s="43">
        <v>2958</v>
      </c>
      <c r="J227" s="38">
        <v>5</v>
      </c>
      <c r="K227" s="39">
        <v>295.8</v>
      </c>
      <c r="L227" s="54">
        <f>M227*P227</f>
        <v>1064.8799999999999</v>
      </c>
      <c r="M227" s="39">
        <f>(I227-K227)/J227</f>
        <v>532.43999999999994</v>
      </c>
      <c r="N227" s="39">
        <f>I227-L227</f>
        <v>1893.1200000000001</v>
      </c>
      <c r="O227" s="38"/>
      <c r="P227" s="40">
        <v>2</v>
      </c>
    </row>
    <row r="228" spans="1:16" ht="30" x14ac:dyDescent="0.25">
      <c r="A228" s="34">
        <v>222</v>
      </c>
      <c r="B228" s="41" t="s">
        <v>294</v>
      </c>
      <c r="C228" s="38">
        <v>1</v>
      </c>
      <c r="D228" s="38" t="s">
        <v>11</v>
      </c>
      <c r="E228" s="38" t="s">
        <v>125</v>
      </c>
      <c r="F228" s="38"/>
      <c r="G228" s="38"/>
      <c r="H228" s="42">
        <v>45351</v>
      </c>
      <c r="I228" s="43">
        <v>5395</v>
      </c>
      <c r="J228" s="38">
        <v>5</v>
      </c>
      <c r="K228" s="39">
        <v>539.5</v>
      </c>
      <c r="L228" s="54">
        <f>M228*P228</f>
        <v>1942.2</v>
      </c>
      <c r="M228" s="39">
        <f>(I228-K228)/J228</f>
        <v>971.1</v>
      </c>
      <c r="N228" s="39">
        <f>I228-L228</f>
        <v>3452.8</v>
      </c>
      <c r="O228" s="38"/>
      <c r="P228" s="40">
        <v>2</v>
      </c>
    </row>
    <row r="229" spans="1:16" x14ac:dyDescent="0.25">
      <c r="A229" s="34">
        <v>223</v>
      </c>
      <c r="B229" s="38" t="s">
        <v>295</v>
      </c>
      <c r="C229" s="38">
        <v>1</v>
      </c>
      <c r="D229" s="38" t="s">
        <v>8</v>
      </c>
      <c r="E229" s="38" t="s">
        <v>92</v>
      </c>
      <c r="F229" s="38"/>
      <c r="G229" s="38"/>
      <c r="H229" s="42">
        <v>45363</v>
      </c>
      <c r="I229" s="43">
        <v>1211.5</v>
      </c>
      <c r="J229" s="38">
        <v>3</v>
      </c>
      <c r="K229" s="39">
        <v>0</v>
      </c>
      <c r="L229" s="54">
        <f>M229*P229</f>
        <v>807.66666666666663</v>
      </c>
      <c r="M229" s="39">
        <f>(I229-K229)/J229</f>
        <v>403.83333333333331</v>
      </c>
      <c r="N229" s="39">
        <f>I229-L229</f>
        <v>403.83333333333337</v>
      </c>
      <c r="O229" s="38" t="s">
        <v>296</v>
      </c>
      <c r="P229" s="40">
        <v>2</v>
      </c>
    </row>
    <row r="230" spans="1:16" x14ac:dyDescent="0.25">
      <c r="A230" s="34">
        <v>224</v>
      </c>
      <c r="B230" s="38" t="s">
        <v>297</v>
      </c>
      <c r="C230" s="38">
        <v>1</v>
      </c>
      <c r="D230" s="38" t="s">
        <v>8</v>
      </c>
      <c r="E230" s="38" t="s">
        <v>189</v>
      </c>
      <c r="F230" s="38"/>
      <c r="G230" s="38"/>
      <c r="H230" s="42">
        <v>45364</v>
      </c>
      <c r="I230" s="43">
        <v>497</v>
      </c>
      <c r="J230" s="38">
        <v>3</v>
      </c>
      <c r="K230" s="39">
        <v>0</v>
      </c>
      <c r="L230" s="54">
        <f>M230*P230</f>
        <v>331.33333333333331</v>
      </c>
      <c r="M230" s="39">
        <f>(I230-K230)/J230</f>
        <v>165.66666666666666</v>
      </c>
      <c r="N230" s="39">
        <f>I230-L230</f>
        <v>165.66666666666669</v>
      </c>
      <c r="O230" s="38"/>
      <c r="P230" s="40">
        <v>2</v>
      </c>
    </row>
    <row r="231" spans="1:16" ht="45" x14ac:dyDescent="0.25">
      <c r="A231" s="34">
        <v>225</v>
      </c>
      <c r="B231" s="41" t="s">
        <v>298</v>
      </c>
      <c r="C231" s="38">
        <v>2</v>
      </c>
      <c r="D231" s="38" t="s">
        <v>11</v>
      </c>
      <c r="E231" s="38" t="s">
        <v>125</v>
      </c>
      <c r="F231" s="38"/>
      <c r="G231" s="38"/>
      <c r="H231" s="42">
        <v>45371</v>
      </c>
      <c r="I231" s="43">
        <v>3290</v>
      </c>
      <c r="J231" s="38">
        <v>5</v>
      </c>
      <c r="K231" s="39">
        <v>329</v>
      </c>
      <c r="L231" s="54">
        <f>M231*P231</f>
        <v>1184.4000000000001</v>
      </c>
      <c r="M231" s="39">
        <f>(I231-K231)/J231</f>
        <v>592.20000000000005</v>
      </c>
      <c r="N231" s="39">
        <f>I231-L231</f>
        <v>2105.6</v>
      </c>
      <c r="O231" s="38"/>
      <c r="P231" s="40">
        <v>2</v>
      </c>
    </row>
    <row r="232" spans="1:16" x14ac:dyDescent="0.25">
      <c r="A232" s="34">
        <v>226</v>
      </c>
      <c r="B232" s="38" t="s">
        <v>138</v>
      </c>
      <c r="C232" s="38">
        <v>1</v>
      </c>
      <c r="D232" s="38" t="s">
        <v>11</v>
      </c>
      <c r="E232" s="38" t="s">
        <v>135</v>
      </c>
      <c r="F232" s="38"/>
      <c r="G232" s="38"/>
      <c r="H232" s="42">
        <v>45376</v>
      </c>
      <c r="I232" s="43">
        <v>580</v>
      </c>
      <c r="J232" s="38">
        <v>5</v>
      </c>
      <c r="K232" s="39">
        <v>58</v>
      </c>
      <c r="L232" s="54">
        <f>M232*P232</f>
        <v>208.8</v>
      </c>
      <c r="M232" s="39">
        <f>(I232-K232)/J232</f>
        <v>104.4</v>
      </c>
      <c r="N232" s="39">
        <f>I232-L232</f>
        <v>371.2</v>
      </c>
      <c r="O232" s="38"/>
      <c r="P232" s="40">
        <v>2</v>
      </c>
    </row>
    <row r="233" spans="1:16" x14ac:dyDescent="0.25">
      <c r="A233" s="34">
        <v>227</v>
      </c>
      <c r="B233" s="38" t="s">
        <v>299</v>
      </c>
      <c r="C233" s="38">
        <v>1</v>
      </c>
      <c r="D233" s="38" t="s">
        <v>8</v>
      </c>
      <c r="E233" s="38" t="s">
        <v>189</v>
      </c>
      <c r="F233" s="38"/>
      <c r="G233" s="38"/>
      <c r="H233" s="42">
        <v>45398</v>
      </c>
      <c r="I233" s="43">
        <v>987</v>
      </c>
      <c r="J233" s="38">
        <v>3</v>
      </c>
      <c r="K233" s="39">
        <v>0</v>
      </c>
      <c r="L233" s="54">
        <f>M233*P233</f>
        <v>658</v>
      </c>
      <c r="M233" s="39">
        <f>(I233-K233)/J233</f>
        <v>329</v>
      </c>
      <c r="N233" s="39">
        <f>I233-L233</f>
        <v>329</v>
      </c>
      <c r="O233" s="38"/>
      <c r="P233" s="40">
        <v>2</v>
      </c>
    </row>
    <row r="234" spans="1:16" x14ac:dyDescent="0.25">
      <c r="A234" s="34">
        <v>228</v>
      </c>
      <c r="B234" s="38" t="s">
        <v>300</v>
      </c>
      <c r="C234" s="38">
        <v>1</v>
      </c>
      <c r="D234" s="38" t="s">
        <v>8</v>
      </c>
      <c r="E234" s="38" t="s">
        <v>189</v>
      </c>
      <c r="F234" s="38"/>
      <c r="G234" s="38"/>
      <c r="H234" s="42">
        <v>45419</v>
      </c>
      <c r="I234" s="43">
        <v>1837</v>
      </c>
      <c r="J234" s="38">
        <v>3</v>
      </c>
      <c r="K234" s="39">
        <v>0</v>
      </c>
      <c r="L234" s="54">
        <f>M234*P234</f>
        <v>1224.6666666666667</v>
      </c>
      <c r="M234" s="39">
        <f>(I234-K234)/J234</f>
        <v>612.33333333333337</v>
      </c>
      <c r="N234" s="39">
        <f>I234-L234</f>
        <v>612.33333333333326</v>
      </c>
      <c r="O234" s="38"/>
      <c r="P234" s="40">
        <v>2</v>
      </c>
    </row>
    <row r="235" spans="1:16" x14ac:dyDescent="0.25">
      <c r="A235" s="34">
        <v>229</v>
      </c>
      <c r="B235" s="38" t="s">
        <v>301</v>
      </c>
      <c r="C235" s="38">
        <v>1</v>
      </c>
      <c r="D235" s="38" t="s">
        <v>8</v>
      </c>
      <c r="E235" s="38" t="s">
        <v>92</v>
      </c>
      <c r="F235" s="38"/>
      <c r="G235" s="38"/>
      <c r="H235" s="42">
        <v>45420</v>
      </c>
      <c r="I235" s="43">
        <v>3080</v>
      </c>
      <c r="J235" s="38">
        <v>3</v>
      </c>
      <c r="K235" s="39">
        <v>0</v>
      </c>
      <c r="L235" s="54">
        <f>M235*P235</f>
        <v>2053.3333333333335</v>
      </c>
      <c r="M235" s="39">
        <f>(I235-K235)/J235</f>
        <v>1026.6666666666667</v>
      </c>
      <c r="N235" s="39">
        <f>I235-L235</f>
        <v>1026.6666666666665</v>
      </c>
      <c r="O235" s="38" t="s">
        <v>302</v>
      </c>
      <c r="P235" s="40">
        <v>2</v>
      </c>
    </row>
    <row r="236" spans="1:16" x14ac:dyDescent="0.25">
      <c r="A236" s="34">
        <v>230</v>
      </c>
      <c r="B236" s="38" t="s">
        <v>303</v>
      </c>
      <c r="C236" s="38">
        <v>1</v>
      </c>
      <c r="D236" s="38" t="s">
        <v>8</v>
      </c>
      <c r="E236" s="38" t="s">
        <v>92</v>
      </c>
      <c r="F236" s="38"/>
      <c r="G236" s="38"/>
      <c r="H236" s="42">
        <v>45420</v>
      </c>
      <c r="I236" s="43">
        <v>1672.72</v>
      </c>
      <c r="J236" s="38">
        <v>3</v>
      </c>
      <c r="K236" s="39">
        <v>0</v>
      </c>
      <c r="L236" s="54">
        <f>M236*P236</f>
        <v>1115.1466666666668</v>
      </c>
      <c r="M236" s="39">
        <f>(I236-K236)/J236</f>
        <v>557.57333333333338</v>
      </c>
      <c r="N236" s="39">
        <f>I236-L236</f>
        <v>557.57333333333327</v>
      </c>
      <c r="O236" s="38" t="s">
        <v>304</v>
      </c>
      <c r="P236" s="40">
        <v>2</v>
      </c>
    </row>
    <row r="237" spans="1:16" x14ac:dyDescent="0.25">
      <c r="A237" s="34">
        <v>231</v>
      </c>
      <c r="B237" s="38" t="s">
        <v>303</v>
      </c>
      <c r="C237" s="38">
        <v>1</v>
      </c>
      <c r="D237" s="38" t="s">
        <v>8</v>
      </c>
      <c r="E237" s="38" t="s">
        <v>92</v>
      </c>
      <c r="F237" s="38"/>
      <c r="G237" s="38"/>
      <c r="H237" s="42">
        <v>45427</v>
      </c>
      <c r="I237" s="43">
        <v>1672.72</v>
      </c>
      <c r="J237" s="38">
        <v>3</v>
      </c>
      <c r="K237" s="39">
        <v>0</v>
      </c>
      <c r="L237" s="54">
        <f>M237*P237</f>
        <v>1115.1466666666668</v>
      </c>
      <c r="M237" s="39">
        <f>(I237-K237)/J237</f>
        <v>557.57333333333338</v>
      </c>
      <c r="N237" s="39">
        <f>I237-L237</f>
        <v>557.57333333333327</v>
      </c>
      <c r="O237" s="38" t="s">
        <v>305</v>
      </c>
      <c r="P237" s="40">
        <v>2</v>
      </c>
    </row>
    <row r="238" spans="1:16" x14ac:dyDescent="0.25">
      <c r="A238" s="34">
        <v>232</v>
      </c>
      <c r="B238" s="38" t="s">
        <v>306</v>
      </c>
      <c r="C238" s="38">
        <v>1</v>
      </c>
      <c r="D238" s="38" t="s">
        <v>11</v>
      </c>
      <c r="E238" s="38" t="s">
        <v>125</v>
      </c>
      <c r="F238" s="38"/>
      <c r="G238" s="38"/>
      <c r="H238" s="42">
        <v>45429</v>
      </c>
      <c r="I238" s="43">
        <v>4125</v>
      </c>
      <c r="J238" s="38">
        <v>5</v>
      </c>
      <c r="K238" s="39">
        <v>0</v>
      </c>
      <c r="L238" s="54">
        <f>M238*P238</f>
        <v>1650</v>
      </c>
      <c r="M238" s="39">
        <f>(I238-K238)/J238</f>
        <v>825</v>
      </c>
      <c r="N238" s="39">
        <f>I238-L238</f>
        <v>2475</v>
      </c>
      <c r="O238" s="38"/>
      <c r="P238" s="40">
        <v>2</v>
      </c>
    </row>
    <row r="239" spans="1:16" x14ac:dyDescent="0.25">
      <c r="A239" s="34">
        <v>233</v>
      </c>
      <c r="B239" s="38" t="s">
        <v>307</v>
      </c>
      <c r="C239" s="38">
        <v>1</v>
      </c>
      <c r="D239" s="38" t="s">
        <v>9</v>
      </c>
      <c r="E239" s="38" t="s">
        <v>308</v>
      </c>
      <c r="F239" s="38"/>
      <c r="G239" s="38"/>
      <c r="H239" s="42">
        <v>45429</v>
      </c>
      <c r="I239" s="43">
        <v>74950</v>
      </c>
      <c r="J239" s="38">
        <v>5</v>
      </c>
      <c r="K239" s="39">
        <v>7495</v>
      </c>
      <c r="L239" s="54">
        <f>M239*P239</f>
        <v>26982</v>
      </c>
      <c r="M239" s="39">
        <f>(I239-K239)/J239</f>
        <v>13491</v>
      </c>
      <c r="N239" s="39">
        <f>I239-L239</f>
        <v>47968</v>
      </c>
      <c r="O239" s="38"/>
      <c r="P239" s="40">
        <v>2</v>
      </c>
    </row>
    <row r="240" spans="1:16" ht="30" x14ac:dyDescent="0.25">
      <c r="A240" s="34">
        <v>234</v>
      </c>
      <c r="B240" s="41" t="s">
        <v>309</v>
      </c>
      <c r="C240" s="38">
        <v>4</v>
      </c>
      <c r="D240" s="38" t="s">
        <v>11</v>
      </c>
      <c r="E240" s="38" t="s">
        <v>135</v>
      </c>
      <c r="F240" s="38"/>
      <c r="G240" s="38"/>
      <c r="H240" s="42">
        <v>45429</v>
      </c>
      <c r="I240" s="43">
        <v>3140</v>
      </c>
      <c r="J240" s="38">
        <v>5</v>
      </c>
      <c r="K240" s="39">
        <v>314</v>
      </c>
      <c r="L240" s="54">
        <f>M240*P240</f>
        <v>1130.4000000000001</v>
      </c>
      <c r="M240" s="39">
        <f>(I240-K240)/J240</f>
        <v>565.20000000000005</v>
      </c>
      <c r="N240" s="39">
        <f>I240-L240</f>
        <v>2009.6</v>
      </c>
      <c r="O240" s="38" t="s">
        <v>310</v>
      </c>
      <c r="P240" s="40">
        <v>2</v>
      </c>
    </row>
    <row r="241" spans="1:16" ht="30" x14ac:dyDescent="0.25">
      <c r="A241" s="34">
        <v>235</v>
      </c>
      <c r="B241" s="41" t="s">
        <v>309</v>
      </c>
      <c r="C241" s="38">
        <v>4</v>
      </c>
      <c r="D241" s="38" t="s">
        <v>11</v>
      </c>
      <c r="E241" s="38" t="s">
        <v>135</v>
      </c>
      <c r="F241" s="38"/>
      <c r="G241" s="38"/>
      <c r="H241" s="42">
        <v>45429</v>
      </c>
      <c r="I241" s="43">
        <v>3140</v>
      </c>
      <c r="J241" s="38">
        <v>5</v>
      </c>
      <c r="K241" s="39">
        <v>314</v>
      </c>
      <c r="L241" s="54">
        <f>M241*P241</f>
        <v>1130.4000000000001</v>
      </c>
      <c r="M241" s="39">
        <f>(I241-K241)/J241</f>
        <v>565.20000000000005</v>
      </c>
      <c r="N241" s="39">
        <f>I241-L241</f>
        <v>2009.6</v>
      </c>
      <c r="O241" s="38" t="s">
        <v>310</v>
      </c>
      <c r="P241" s="40">
        <v>2</v>
      </c>
    </row>
    <row r="242" spans="1:16" x14ac:dyDescent="0.25">
      <c r="A242" s="34">
        <v>236</v>
      </c>
      <c r="B242" s="38" t="s">
        <v>138</v>
      </c>
      <c r="C242" s="38">
        <v>4</v>
      </c>
      <c r="D242" s="38" t="s">
        <v>11</v>
      </c>
      <c r="E242" s="38" t="s">
        <v>135</v>
      </c>
      <c r="F242" s="38"/>
      <c r="G242" s="38"/>
      <c r="H242" s="42">
        <v>45433</v>
      </c>
      <c r="I242" s="43">
        <v>2340</v>
      </c>
      <c r="J242" s="38">
        <v>5</v>
      </c>
      <c r="K242" s="39">
        <v>234</v>
      </c>
      <c r="L242" s="54">
        <f>M242*P242</f>
        <v>842.4</v>
      </c>
      <c r="M242" s="39">
        <f>(I242-K242)/J242</f>
        <v>421.2</v>
      </c>
      <c r="N242" s="39">
        <f>I242-L242</f>
        <v>1497.6</v>
      </c>
      <c r="O242" s="38" t="s">
        <v>245</v>
      </c>
      <c r="P242" s="40">
        <v>2</v>
      </c>
    </row>
    <row r="243" spans="1:16" x14ac:dyDescent="0.25">
      <c r="A243" s="34">
        <v>237</v>
      </c>
      <c r="B243" s="38" t="s">
        <v>314</v>
      </c>
      <c r="C243" s="38">
        <v>8</v>
      </c>
      <c r="D243" s="38" t="s">
        <v>11</v>
      </c>
      <c r="E243" s="38" t="s">
        <v>135</v>
      </c>
      <c r="F243" s="38"/>
      <c r="G243" s="38"/>
      <c r="H243" s="42">
        <v>45433</v>
      </c>
      <c r="I243" s="43">
        <v>6280</v>
      </c>
      <c r="J243" s="38">
        <v>5</v>
      </c>
      <c r="K243" s="39">
        <v>628</v>
      </c>
      <c r="L243" s="54">
        <f>M243*P243</f>
        <v>2260.8000000000002</v>
      </c>
      <c r="M243" s="39">
        <f>(I243-K243)/J243</f>
        <v>1130.4000000000001</v>
      </c>
      <c r="N243" s="39">
        <f>I243-L243</f>
        <v>4019.2</v>
      </c>
      <c r="O243" s="38" t="s">
        <v>310</v>
      </c>
      <c r="P243" s="40">
        <v>2</v>
      </c>
    </row>
    <row r="244" spans="1:16" x14ac:dyDescent="0.25">
      <c r="A244" s="34">
        <v>238</v>
      </c>
      <c r="B244" s="38" t="s">
        <v>311</v>
      </c>
      <c r="C244" s="38">
        <v>1</v>
      </c>
      <c r="D244" s="38" t="s">
        <v>9</v>
      </c>
      <c r="E244" s="38" t="s">
        <v>312</v>
      </c>
      <c r="F244" s="38"/>
      <c r="G244" s="38" t="s">
        <v>313</v>
      </c>
      <c r="H244" s="42">
        <v>45434</v>
      </c>
      <c r="I244" s="43">
        <v>9889</v>
      </c>
      <c r="J244" s="38">
        <v>10</v>
      </c>
      <c r="K244" s="39">
        <v>988.9</v>
      </c>
      <c r="L244" s="54">
        <f>M244*P244</f>
        <v>1780.02</v>
      </c>
      <c r="M244" s="39">
        <f>(I244-K244)/J244</f>
        <v>890.01</v>
      </c>
      <c r="N244" s="39">
        <f>I244-L244</f>
        <v>8108.98</v>
      </c>
      <c r="O244" s="38"/>
      <c r="P244" s="40">
        <v>2</v>
      </c>
    </row>
    <row r="245" spans="1:16" ht="45" x14ac:dyDescent="0.25">
      <c r="A245" s="34">
        <v>239</v>
      </c>
      <c r="B245" s="41" t="s">
        <v>316</v>
      </c>
      <c r="C245" s="38">
        <v>1</v>
      </c>
      <c r="D245" s="38" t="s">
        <v>9</v>
      </c>
      <c r="E245" s="38" t="s">
        <v>201</v>
      </c>
      <c r="F245" s="38"/>
      <c r="G245" s="38"/>
      <c r="H245" s="42">
        <v>45436</v>
      </c>
      <c r="I245" s="43">
        <v>2152.6999999999998</v>
      </c>
      <c r="J245" s="38">
        <v>5</v>
      </c>
      <c r="K245" s="39">
        <v>0</v>
      </c>
      <c r="L245" s="54">
        <f>M245*P245</f>
        <v>861.07999999999993</v>
      </c>
      <c r="M245" s="39">
        <f>(I245-K245)/J245</f>
        <v>430.53999999999996</v>
      </c>
      <c r="N245" s="39">
        <f>I245-L245</f>
        <v>1291.6199999999999</v>
      </c>
      <c r="O245" s="38"/>
      <c r="P245" s="40">
        <v>2</v>
      </c>
    </row>
    <row r="246" spans="1:16" ht="30" x14ac:dyDescent="0.25">
      <c r="A246" s="34">
        <v>240</v>
      </c>
      <c r="B246" s="41" t="s">
        <v>315</v>
      </c>
      <c r="C246" s="38">
        <v>1</v>
      </c>
      <c r="D246" s="38" t="s">
        <v>9</v>
      </c>
      <c r="E246" s="38" t="s">
        <v>201</v>
      </c>
      <c r="F246" s="38"/>
      <c r="G246" s="38"/>
      <c r="H246" s="42">
        <v>45439</v>
      </c>
      <c r="I246" s="43">
        <v>1499</v>
      </c>
      <c r="J246" s="38">
        <v>5</v>
      </c>
      <c r="K246" s="39">
        <v>0</v>
      </c>
      <c r="L246" s="54">
        <f>M246*P246</f>
        <v>599.6</v>
      </c>
      <c r="M246" s="39">
        <f>(I246-K246)/J246</f>
        <v>299.8</v>
      </c>
      <c r="N246" s="39">
        <f>I246-L246</f>
        <v>899.4</v>
      </c>
      <c r="O246" s="38"/>
      <c r="P246" s="40">
        <v>2</v>
      </c>
    </row>
    <row r="247" spans="1:16" x14ac:dyDescent="0.25">
      <c r="A247" s="34">
        <v>241</v>
      </c>
      <c r="B247" s="41" t="s">
        <v>329</v>
      </c>
      <c r="C247" s="38">
        <v>8</v>
      </c>
      <c r="D247" s="38" t="s">
        <v>11</v>
      </c>
      <c r="E247" s="38" t="s">
        <v>82</v>
      </c>
      <c r="F247" s="38"/>
      <c r="G247" s="38"/>
      <c r="H247" s="42">
        <v>45443</v>
      </c>
      <c r="I247" s="43">
        <v>9200</v>
      </c>
      <c r="J247" s="38">
        <v>5</v>
      </c>
      <c r="K247" s="39">
        <v>0</v>
      </c>
      <c r="L247" s="54">
        <f>M247*P247</f>
        <v>3680</v>
      </c>
      <c r="M247" s="39">
        <f>(I247-K247)/J247</f>
        <v>1840</v>
      </c>
      <c r="N247" s="39">
        <f>I247-L247</f>
        <v>5520</v>
      </c>
      <c r="O247" s="38" t="s">
        <v>330</v>
      </c>
      <c r="P247" s="40">
        <v>2</v>
      </c>
    </row>
    <row r="248" spans="1:16" x14ac:dyDescent="0.25">
      <c r="A248" s="34">
        <v>242</v>
      </c>
      <c r="B248" s="41" t="s">
        <v>331</v>
      </c>
      <c r="C248" s="38">
        <v>2</v>
      </c>
      <c r="D248" s="38" t="s">
        <v>11</v>
      </c>
      <c r="E248" s="38" t="s">
        <v>82</v>
      </c>
      <c r="F248" s="38"/>
      <c r="G248" s="38"/>
      <c r="H248" s="42">
        <v>45443</v>
      </c>
      <c r="I248" s="43">
        <v>8560</v>
      </c>
      <c r="J248" s="38">
        <v>5</v>
      </c>
      <c r="K248" s="39">
        <v>0</v>
      </c>
      <c r="L248" s="54">
        <f>M248*P248</f>
        <v>3424</v>
      </c>
      <c r="M248" s="39">
        <f>(I248-K248)/J248</f>
        <v>1712</v>
      </c>
      <c r="N248" s="39">
        <f>I248-L248</f>
        <v>5136</v>
      </c>
      <c r="O248" s="38" t="s">
        <v>332</v>
      </c>
      <c r="P248" s="40">
        <v>2</v>
      </c>
    </row>
    <row r="249" spans="1:16" x14ac:dyDescent="0.25">
      <c r="A249" s="34">
        <v>243</v>
      </c>
      <c r="B249" s="41" t="s">
        <v>333</v>
      </c>
      <c r="C249" s="38">
        <v>1</v>
      </c>
      <c r="D249" s="38" t="s">
        <v>11</v>
      </c>
      <c r="E249" s="38" t="s">
        <v>82</v>
      </c>
      <c r="F249" s="38"/>
      <c r="G249" s="38"/>
      <c r="H249" s="42">
        <v>45443</v>
      </c>
      <c r="I249" s="43">
        <v>92012.800000000003</v>
      </c>
      <c r="J249" s="38">
        <v>10</v>
      </c>
      <c r="K249" s="39">
        <v>0</v>
      </c>
      <c r="L249" s="54">
        <f>M249*P249</f>
        <v>18402.560000000001</v>
      </c>
      <c r="M249" s="39">
        <f>(I249-K249)/J249</f>
        <v>9201.2800000000007</v>
      </c>
      <c r="N249" s="39">
        <f>I249-L249</f>
        <v>73610.240000000005</v>
      </c>
      <c r="O249" s="38"/>
      <c r="P249" s="40">
        <v>2</v>
      </c>
    </row>
    <row r="250" spans="1:16" x14ac:dyDescent="0.25">
      <c r="A250" s="34">
        <v>244</v>
      </c>
      <c r="B250" s="41" t="s">
        <v>334</v>
      </c>
      <c r="C250" s="38">
        <v>2</v>
      </c>
      <c r="D250" s="38" t="s">
        <v>11</v>
      </c>
      <c r="E250" s="38" t="s">
        <v>82</v>
      </c>
      <c r="F250" s="38"/>
      <c r="G250" s="38"/>
      <c r="H250" s="42">
        <v>45443</v>
      </c>
      <c r="I250" s="43">
        <v>43776</v>
      </c>
      <c r="J250" s="38">
        <v>5</v>
      </c>
      <c r="K250" s="39">
        <v>0</v>
      </c>
      <c r="L250" s="54">
        <f>M250*P250</f>
        <v>17510.400000000001</v>
      </c>
      <c r="M250" s="39">
        <f>(I250-K250)/J250</f>
        <v>8755.2000000000007</v>
      </c>
      <c r="N250" s="39">
        <f>I250-L250</f>
        <v>26265.599999999999</v>
      </c>
      <c r="O250" s="38" t="s">
        <v>335</v>
      </c>
      <c r="P250" s="40">
        <v>2</v>
      </c>
    </row>
    <row r="251" spans="1:16" x14ac:dyDescent="0.25">
      <c r="A251" s="34">
        <v>245</v>
      </c>
      <c r="B251" s="41" t="s">
        <v>336</v>
      </c>
      <c r="C251" s="38">
        <v>16</v>
      </c>
      <c r="D251" s="38" t="s">
        <v>11</v>
      </c>
      <c r="E251" s="38" t="s">
        <v>82</v>
      </c>
      <c r="F251" s="38"/>
      <c r="G251" s="38"/>
      <c r="H251" s="42">
        <v>45443</v>
      </c>
      <c r="I251" s="43">
        <v>80870</v>
      </c>
      <c r="J251" s="38">
        <v>10</v>
      </c>
      <c r="K251" s="39">
        <v>0</v>
      </c>
      <c r="L251" s="54">
        <f>M251*P251</f>
        <v>16174</v>
      </c>
      <c r="M251" s="39">
        <f>(I251-K251)/J251</f>
        <v>8087</v>
      </c>
      <c r="N251" s="39">
        <f>I251-L251</f>
        <v>64696</v>
      </c>
      <c r="O251" s="38" t="s">
        <v>337</v>
      </c>
      <c r="P251" s="40">
        <v>2</v>
      </c>
    </row>
    <row r="252" spans="1:16" x14ac:dyDescent="0.25">
      <c r="A252" s="34">
        <v>246</v>
      </c>
      <c r="B252" s="41" t="s">
        <v>338</v>
      </c>
      <c r="C252" s="38">
        <v>4</v>
      </c>
      <c r="D252" s="38" t="s">
        <v>11</v>
      </c>
      <c r="E252" s="38" t="s">
        <v>82</v>
      </c>
      <c r="F252" s="38"/>
      <c r="G252" s="38"/>
      <c r="H252" s="42">
        <v>45443</v>
      </c>
      <c r="I252" s="43">
        <v>6720</v>
      </c>
      <c r="J252" s="38">
        <v>10</v>
      </c>
      <c r="K252" s="39">
        <v>0</v>
      </c>
      <c r="L252" s="54">
        <f>M252*P252</f>
        <v>1344</v>
      </c>
      <c r="M252" s="39">
        <f>(I252-K252)/J252</f>
        <v>672</v>
      </c>
      <c r="N252" s="39">
        <f>I252-L252</f>
        <v>5376</v>
      </c>
      <c r="O252" s="38" t="s">
        <v>339</v>
      </c>
      <c r="P252" s="40">
        <v>2</v>
      </c>
    </row>
    <row r="253" spans="1:16" x14ac:dyDescent="0.25">
      <c r="A253" s="34">
        <v>247</v>
      </c>
      <c r="B253" s="41" t="s">
        <v>340</v>
      </c>
      <c r="C253" s="38"/>
      <c r="D253" s="38" t="s">
        <v>11</v>
      </c>
      <c r="E253" s="38" t="s">
        <v>272</v>
      </c>
      <c r="F253" s="38"/>
      <c r="G253" s="38"/>
      <c r="H253" s="42">
        <v>45443</v>
      </c>
      <c r="I253" s="43">
        <v>396842.94</v>
      </c>
      <c r="J253" s="38">
        <v>5</v>
      </c>
      <c r="K253" s="39">
        <v>39684.29</v>
      </c>
      <c r="L253" s="54">
        <f>M253*P253</f>
        <v>142863.46000000002</v>
      </c>
      <c r="M253" s="39">
        <f>(I253-K253)/J253</f>
        <v>71431.73000000001</v>
      </c>
      <c r="N253" s="39">
        <f>I253-L253</f>
        <v>253979.47999999998</v>
      </c>
      <c r="O253" s="38"/>
      <c r="P253" s="40">
        <v>2</v>
      </c>
    </row>
    <row r="254" spans="1:16" x14ac:dyDescent="0.25">
      <c r="A254" s="34">
        <v>248</v>
      </c>
      <c r="B254" s="41" t="s">
        <v>341</v>
      </c>
      <c r="C254" s="38"/>
      <c r="D254" s="38" t="s">
        <v>11</v>
      </c>
      <c r="E254" s="38" t="s">
        <v>272</v>
      </c>
      <c r="F254" s="38"/>
      <c r="G254" s="38"/>
      <c r="H254" s="42">
        <v>45443</v>
      </c>
      <c r="I254" s="43">
        <v>567646.71999999997</v>
      </c>
      <c r="J254" s="38">
        <v>5</v>
      </c>
      <c r="K254" s="39">
        <v>56764.67</v>
      </c>
      <c r="L254" s="54">
        <f>M254*P254</f>
        <v>204352.82</v>
      </c>
      <c r="M254" s="39">
        <f>(I254-K254)/J254</f>
        <v>102176.41</v>
      </c>
      <c r="N254" s="39">
        <f>I254-L254</f>
        <v>363293.89999999997</v>
      </c>
      <c r="O254" s="38"/>
      <c r="P254" s="40">
        <v>2</v>
      </c>
    </row>
    <row r="255" spans="1:16" x14ac:dyDescent="0.25">
      <c r="A255" s="34">
        <v>249</v>
      </c>
      <c r="B255" s="38" t="s">
        <v>317</v>
      </c>
      <c r="C255" s="38">
        <v>1</v>
      </c>
      <c r="D255" s="38" t="s">
        <v>9</v>
      </c>
      <c r="E255" s="38" t="s">
        <v>318</v>
      </c>
      <c r="F255" s="38"/>
      <c r="G255" s="38"/>
      <c r="H255" s="42">
        <v>45448</v>
      </c>
      <c r="I255" s="43">
        <v>63767</v>
      </c>
      <c r="J255" s="38">
        <v>10</v>
      </c>
      <c r="K255" s="39">
        <v>6376.7</v>
      </c>
      <c r="L255" s="54">
        <f>M255*P255</f>
        <v>11478.060000000001</v>
      </c>
      <c r="M255" s="39">
        <f>(I255-K255)/J255</f>
        <v>5739.0300000000007</v>
      </c>
      <c r="N255" s="39">
        <f>I255-L255</f>
        <v>52288.94</v>
      </c>
      <c r="O255" s="38"/>
      <c r="P255" s="40">
        <v>2</v>
      </c>
    </row>
    <row r="256" spans="1:16" x14ac:dyDescent="0.25">
      <c r="A256" s="34">
        <v>250</v>
      </c>
      <c r="B256" s="41" t="s">
        <v>342</v>
      </c>
      <c r="C256" s="38"/>
      <c r="D256" s="38" t="s">
        <v>11</v>
      </c>
      <c r="E256" s="38" t="s">
        <v>272</v>
      </c>
      <c r="F256" s="38"/>
      <c r="G256" s="38"/>
      <c r="H256" s="42">
        <v>45472</v>
      </c>
      <c r="I256" s="43">
        <v>200417.49</v>
      </c>
      <c r="J256" s="38">
        <v>5</v>
      </c>
      <c r="K256" s="39">
        <v>20041.740000000002</v>
      </c>
      <c r="L256" s="54">
        <f>M256*P256</f>
        <v>72150.3</v>
      </c>
      <c r="M256" s="39">
        <f>(I256-K256)/J256</f>
        <v>36075.15</v>
      </c>
      <c r="N256" s="39">
        <f>I256-L256</f>
        <v>128267.18999999999</v>
      </c>
      <c r="O256" s="38"/>
      <c r="P256" s="40">
        <v>2</v>
      </c>
    </row>
    <row r="257" spans="1:16" x14ac:dyDescent="0.25">
      <c r="A257" s="34">
        <v>251</v>
      </c>
      <c r="B257" s="38" t="s">
        <v>322</v>
      </c>
      <c r="C257" s="38">
        <v>4</v>
      </c>
      <c r="D257" s="38" t="s">
        <v>11</v>
      </c>
      <c r="E257" s="38" t="s">
        <v>125</v>
      </c>
      <c r="F257" s="38"/>
      <c r="G257" s="38"/>
      <c r="H257" s="42">
        <v>45477</v>
      </c>
      <c r="I257" s="43">
        <v>2780</v>
      </c>
      <c r="J257" s="38">
        <v>5</v>
      </c>
      <c r="K257" s="39">
        <v>0</v>
      </c>
      <c r="L257" s="54">
        <f>M257*P257</f>
        <v>556</v>
      </c>
      <c r="M257" s="39">
        <f>(I257-K257)/J257</f>
        <v>556</v>
      </c>
      <c r="N257" s="39">
        <f>I257-L257</f>
        <v>2224</v>
      </c>
      <c r="O257" s="38">
        <v>695</v>
      </c>
      <c r="P257" s="40">
        <v>1</v>
      </c>
    </row>
    <row r="258" spans="1:16" x14ac:dyDescent="0.25">
      <c r="A258" s="34">
        <v>252</v>
      </c>
      <c r="B258" s="38" t="s">
        <v>138</v>
      </c>
      <c r="C258" s="38">
        <v>4</v>
      </c>
      <c r="D258" s="38" t="s">
        <v>11</v>
      </c>
      <c r="E258" s="38" t="s">
        <v>135</v>
      </c>
      <c r="F258" s="38"/>
      <c r="G258" s="38"/>
      <c r="H258" s="42">
        <v>45477</v>
      </c>
      <c r="I258" s="43">
        <v>2320</v>
      </c>
      <c r="J258" s="38">
        <v>5</v>
      </c>
      <c r="K258" s="39">
        <v>0</v>
      </c>
      <c r="L258" s="54">
        <f>M258*P258</f>
        <v>464</v>
      </c>
      <c r="M258" s="39">
        <f>(I258-K258)/J258</f>
        <v>464</v>
      </c>
      <c r="N258" s="39">
        <f>I258-L258</f>
        <v>1856</v>
      </c>
      <c r="O258" s="38" t="s">
        <v>245</v>
      </c>
      <c r="P258" s="40">
        <v>1</v>
      </c>
    </row>
    <row r="259" spans="1:16" x14ac:dyDescent="0.25">
      <c r="A259" s="34">
        <v>253</v>
      </c>
      <c r="B259" s="38" t="s">
        <v>321</v>
      </c>
      <c r="C259" s="38">
        <v>1</v>
      </c>
      <c r="D259" s="38" t="s">
        <v>9</v>
      </c>
      <c r="E259" s="38" t="s">
        <v>201</v>
      </c>
      <c r="F259" s="38"/>
      <c r="G259" s="38"/>
      <c r="H259" s="42">
        <v>45478</v>
      </c>
      <c r="I259" s="43">
        <v>1999</v>
      </c>
      <c r="J259" s="38">
        <v>5</v>
      </c>
      <c r="K259" s="39">
        <v>0</v>
      </c>
      <c r="L259" s="54">
        <f>M259*P259</f>
        <v>399.8</v>
      </c>
      <c r="M259" s="39">
        <f>(I259-K259)/J259</f>
        <v>399.8</v>
      </c>
      <c r="N259" s="39">
        <f>I259-L259</f>
        <v>1599.2</v>
      </c>
      <c r="O259" s="38"/>
      <c r="P259" s="40">
        <v>1</v>
      </c>
    </row>
    <row r="260" spans="1:16" x14ac:dyDescent="0.25">
      <c r="A260" s="34">
        <v>254</v>
      </c>
      <c r="B260" s="38" t="s">
        <v>319</v>
      </c>
      <c r="C260" s="38">
        <v>2</v>
      </c>
      <c r="D260" s="38" t="s">
        <v>11</v>
      </c>
      <c r="E260" s="38" t="s">
        <v>267</v>
      </c>
      <c r="F260" s="38"/>
      <c r="G260" s="38"/>
      <c r="H260" s="42">
        <v>45481</v>
      </c>
      <c r="I260" s="43">
        <v>4800</v>
      </c>
      <c r="J260" s="38">
        <v>5</v>
      </c>
      <c r="K260" s="39">
        <v>0</v>
      </c>
      <c r="L260" s="54">
        <f>M260*P260</f>
        <v>960</v>
      </c>
      <c r="M260" s="39">
        <f>(I260-K260)/J260</f>
        <v>960</v>
      </c>
      <c r="N260" s="39">
        <f>I260-L260</f>
        <v>3840</v>
      </c>
      <c r="O260" s="38" t="s">
        <v>320</v>
      </c>
      <c r="P260" s="40">
        <v>1</v>
      </c>
    </row>
    <row r="261" spans="1:16" ht="30" x14ac:dyDescent="0.25">
      <c r="A261" s="34">
        <v>255</v>
      </c>
      <c r="B261" s="41" t="s">
        <v>323</v>
      </c>
      <c r="C261" s="38">
        <v>1</v>
      </c>
      <c r="D261" s="38" t="s">
        <v>11</v>
      </c>
      <c r="E261" s="38" t="s">
        <v>201</v>
      </c>
      <c r="F261" s="38"/>
      <c r="G261" s="38"/>
      <c r="H261" s="42">
        <v>45483</v>
      </c>
      <c r="I261" s="43">
        <v>4645.28</v>
      </c>
      <c r="J261" s="38">
        <v>5</v>
      </c>
      <c r="K261" s="39">
        <v>0</v>
      </c>
      <c r="L261" s="54">
        <f>M261*P261</f>
        <v>929.05599999999993</v>
      </c>
      <c r="M261" s="39">
        <f>(I261-K261)/J261</f>
        <v>929.05599999999993</v>
      </c>
      <c r="N261" s="39">
        <f>I261-L261</f>
        <v>3716.2239999999997</v>
      </c>
      <c r="O261" s="38"/>
      <c r="P261" s="40">
        <v>1</v>
      </c>
    </row>
    <row r="262" spans="1:16" ht="30" x14ac:dyDescent="0.25">
      <c r="A262" s="34">
        <v>256</v>
      </c>
      <c r="B262" s="41" t="s">
        <v>324</v>
      </c>
      <c r="C262" s="38">
        <v>1</v>
      </c>
      <c r="D262" s="38" t="s">
        <v>11</v>
      </c>
      <c r="E262" s="38" t="s">
        <v>201</v>
      </c>
      <c r="F262" s="38"/>
      <c r="G262" s="38"/>
      <c r="H262" s="42">
        <v>45484</v>
      </c>
      <c r="I262" s="43">
        <v>771.82</v>
      </c>
      <c r="J262" s="38">
        <v>5</v>
      </c>
      <c r="K262" s="39">
        <v>0</v>
      </c>
      <c r="L262" s="54">
        <f>M262*P262</f>
        <v>154.364</v>
      </c>
      <c r="M262" s="39">
        <f>(I262-K262)/J262</f>
        <v>154.364</v>
      </c>
      <c r="N262" s="39">
        <f>I262-L262</f>
        <v>617.45600000000002</v>
      </c>
      <c r="O262" s="38"/>
      <c r="P262" s="40">
        <v>1</v>
      </c>
    </row>
    <row r="263" spans="1:16" ht="30" x14ac:dyDescent="0.25">
      <c r="A263" s="34">
        <v>257</v>
      </c>
      <c r="B263" s="41" t="s">
        <v>325</v>
      </c>
      <c r="C263" s="38">
        <v>1</v>
      </c>
      <c r="D263" s="38" t="s">
        <v>11</v>
      </c>
      <c r="E263" s="38" t="s">
        <v>201</v>
      </c>
      <c r="F263" s="38"/>
      <c r="G263" s="38"/>
      <c r="H263" s="42">
        <v>45484</v>
      </c>
      <c r="I263" s="43">
        <v>1294.55</v>
      </c>
      <c r="J263" s="38">
        <v>5</v>
      </c>
      <c r="K263" s="39">
        <v>0</v>
      </c>
      <c r="L263" s="54">
        <f>M263*P263</f>
        <v>258.90999999999997</v>
      </c>
      <c r="M263" s="39">
        <f>(I263-K263)/J263</f>
        <v>258.90999999999997</v>
      </c>
      <c r="N263" s="39">
        <f>I263-L263</f>
        <v>1035.6399999999999</v>
      </c>
      <c r="O263" s="38"/>
      <c r="P263" s="40">
        <v>1</v>
      </c>
    </row>
    <row r="264" spans="1:16" ht="30" x14ac:dyDescent="0.25">
      <c r="A264" s="34">
        <v>258</v>
      </c>
      <c r="B264" s="41" t="s">
        <v>326</v>
      </c>
      <c r="C264" s="38">
        <v>1</v>
      </c>
      <c r="D264" s="38" t="s">
        <v>11</v>
      </c>
      <c r="E264" s="38" t="s">
        <v>125</v>
      </c>
      <c r="F264" s="38"/>
      <c r="G264" s="38"/>
      <c r="H264" s="42">
        <v>45485</v>
      </c>
      <c r="I264" s="43">
        <v>7980</v>
      </c>
      <c r="J264" s="38">
        <v>5</v>
      </c>
      <c r="K264" s="39">
        <v>0</v>
      </c>
      <c r="L264" s="54">
        <f>M264*P264</f>
        <v>1596</v>
      </c>
      <c r="M264" s="39">
        <f>(I264-K264)/J264</f>
        <v>1596</v>
      </c>
      <c r="N264" s="39">
        <f>I264-L264</f>
        <v>6384</v>
      </c>
      <c r="O264" s="38"/>
      <c r="P264" s="40">
        <v>1</v>
      </c>
    </row>
    <row r="265" spans="1:16" ht="30" x14ac:dyDescent="0.25">
      <c r="A265" s="34">
        <v>259</v>
      </c>
      <c r="B265" s="41" t="s">
        <v>327</v>
      </c>
      <c r="C265" s="38">
        <v>1</v>
      </c>
      <c r="D265" s="38" t="s">
        <v>11</v>
      </c>
      <c r="E265" s="38" t="s">
        <v>201</v>
      </c>
      <c r="F265" s="38"/>
      <c r="G265" s="38"/>
      <c r="H265" s="42">
        <v>45489</v>
      </c>
      <c r="I265" s="43">
        <v>817.27</v>
      </c>
      <c r="J265" s="38">
        <v>5</v>
      </c>
      <c r="K265" s="39">
        <v>0</v>
      </c>
      <c r="L265" s="54">
        <f>M265*P265</f>
        <v>163.45400000000001</v>
      </c>
      <c r="M265" s="39">
        <f>(I265-K265)/J265</f>
        <v>163.45400000000001</v>
      </c>
      <c r="N265" s="39">
        <f>I265-L265</f>
        <v>653.81600000000003</v>
      </c>
      <c r="O265" s="38"/>
      <c r="P265" s="40">
        <v>1</v>
      </c>
    </row>
    <row r="266" spans="1:16" x14ac:dyDescent="0.25">
      <c r="A266" s="34">
        <v>260</v>
      </c>
      <c r="B266" s="41" t="s">
        <v>328</v>
      </c>
      <c r="C266" s="38">
        <v>1</v>
      </c>
      <c r="D266" s="38" t="s">
        <v>11</v>
      </c>
      <c r="E266" s="38" t="s">
        <v>122</v>
      </c>
      <c r="F266" s="38"/>
      <c r="G266" s="38"/>
      <c r="H266" s="42">
        <v>45490</v>
      </c>
      <c r="I266" s="43">
        <v>1569.83</v>
      </c>
      <c r="J266" s="38">
        <v>5</v>
      </c>
      <c r="K266" s="39">
        <v>0</v>
      </c>
      <c r="L266" s="54">
        <f>M266*P266</f>
        <v>313.96600000000001</v>
      </c>
      <c r="M266" s="39">
        <f>(I266-K266)/J266</f>
        <v>313.96600000000001</v>
      </c>
      <c r="N266" s="39">
        <f>I266-L266</f>
        <v>1255.864</v>
      </c>
      <c r="O266" s="38"/>
      <c r="P266" s="40">
        <v>1</v>
      </c>
    </row>
    <row r="267" spans="1:16" x14ac:dyDescent="0.25">
      <c r="A267" s="34">
        <v>261</v>
      </c>
      <c r="B267" s="41" t="s">
        <v>343</v>
      </c>
      <c r="C267" s="38">
        <v>1</v>
      </c>
      <c r="D267" s="38" t="s">
        <v>9</v>
      </c>
      <c r="E267" s="38" t="s">
        <v>344</v>
      </c>
      <c r="F267" s="38"/>
      <c r="G267" s="38"/>
      <c r="H267" s="42">
        <v>45491</v>
      </c>
      <c r="I267" s="43">
        <v>13500</v>
      </c>
      <c r="J267" s="38">
        <v>10</v>
      </c>
      <c r="K267" s="39">
        <v>0</v>
      </c>
      <c r="L267" s="54">
        <f>M267*P267</f>
        <v>1350</v>
      </c>
      <c r="M267" s="39">
        <f>(I267-K267)/J267</f>
        <v>1350</v>
      </c>
      <c r="N267" s="39">
        <f>I267-L267</f>
        <v>12150</v>
      </c>
      <c r="O267" s="38"/>
      <c r="P267" s="40">
        <v>1</v>
      </c>
    </row>
    <row r="268" spans="1:16" x14ac:dyDescent="0.25">
      <c r="A268" s="34">
        <v>262</v>
      </c>
      <c r="B268" s="41" t="s">
        <v>345</v>
      </c>
      <c r="C268" s="38">
        <v>1</v>
      </c>
      <c r="D268" s="38" t="s">
        <v>11</v>
      </c>
      <c r="E268" s="38" t="s">
        <v>262</v>
      </c>
      <c r="F268" s="38"/>
      <c r="G268" s="38" t="s">
        <v>346</v>
      </c>
      <c r="H268" s="42">
        <v>45495</v>
      </c>
      <c r="I268" s="43">
        <v>2500</v>
      </c>
      <c r="J268" s="38">
        <v>5</v>
      </c>
      <c r="K268" s="39">
        <v>0</v>
      </c>
      <c r="L268" s="54">
        <f>M268*P268</f>
        <v>500</v>
      </c>
      <c r="M268" s="39">
        <f>(I268-K268)/J268</f>
        <v>500</v>
      </c>
      <c r="N268" s="39">
        <f>I268-L268</f>
        <v>2000</v>
      </c>
      <c r="O268" s="38"/>
      <c r="P268" s="40">
        <v>1</v>
      </c>
    </row>
    <row r="269" spans="1:16" x14ac:dyDescent="0.25">
      <c r="A269" s="34">
        <v>263</v>
      </c>
      <c r="B269" s="41" t="s">
        <v>36</v>
      </c>
      <c r="C269" s="38">
        <v>50</v>
      </c>
      <c r="D269" s="38" t="s">
        <v>11</v>
      </c>
      <c r="E269" s="38" t="s">
        <v>35</v>
      </c>
      <c r="F269" s="38"/>
      <c r="G269" s="38"/>
      <c r="H269" s="42">
        <v>45495</v>
      </c>
      <c r="I269" s="43">
        <v>23250</v>
      </c>
      <c r="J269" s="38">
        <v>7</v>
      </c>
      <c r="K269" s="39">
        <v>2325</v>
      </c>
      <c r="L269" s="54">
        <f>M269*P269</f>
        <v>2989.2857142857142</v>
      </c>
      <c r="M269" s="39">
        <f>(I269-K269)/J269</f>
        <v>2989.2857142857142</v>
      </c>
      <c r="N269" s="39">
        <f>I269-L269</f>
        <v>20260.714285714286</v>
      </c>
      <c r="O269" s="38"/>
      <c r="P269" s="40">
        <v>1</v>
      </c>
    </row>
    <row r="270" spans="1:16" x14ac:dyDescent="0.25">
      <c r="A270" s="34">
        <v>264</v>
      </c>
      <c r="B270" s="41" t="s">
        <v>347</v>
      </c>
      <c r="C270" s="38">
        <v>1</v>
      </c>
      <c r="D270" s="38" t="s">
        <v>11</v>
      </c>
      <c r="E270" s="38" t="s">
        <v>262</v>
      </c>
      <c r="F270" s="38"/>
      <c r="G270" s="38" t="s">
        <v>348</v>
      </c>
      <c r="H270" s="42">
        <v>45497</v>
      </c>
      <c r="I270" s="43">
        <v>2500</v>
      </c>
      <c r="J270" s="38">
        <v>5</v>
      </c>
      <c r="K270" s="39">
        <v>0</v>
      </c>
      <c r="L270" s="54">
        <f>M270*P270</f>
        <v>500</v>
      </c>
      <c r="M270" s="39">
        <f>(I270-K270)/J270</f>
        <v>500</v>
      </c>
      <c r="N270" s="39">
        <f>I270-L270</f>
        <v>2000</v>
      </c>
      <c r="O270" s="38"/>
      <c r="P270" s="40">
        <v>1</v>
      </c>
    </row>
    <row r="271" spans="1:16" x14ac:dyDescent="0.25">
      <c r="A271" s="34">
        <v>265</v>
      </c>
      <c r="B271" s="41" t="s">
        <v>351</v>
      </c>
      <c r="C271" s="38">
        <v>1</v>
      </c>
      <c r="D271" s="38" t="s">
        <v>11</v>
      </c>
      <c r="E271" s="38" t="s">
        <v>125</v>
      </c>
      <c r="F271" s="38"/>
      <c r="G271" s="38"/>
      <c r="H271" s="42">
        <v>45498</v>
      </c>
      <c r="I271" s="43">
        <v>15377</v>
      </c>
      <c r="J271" s="38">
        <v>5</v>
      </c>
      <c r="K271" s="39">
        <v>0</v>
      </c>
      <c r="L271" s="54">
        <f>M271*P271</f>
        <v>3075.4</v>
      </c>
      <c r="M271" s="39">
        <f>(I271-K271)/J271</f>
        <v>3075.4</v>
      </c>
      <c r="N271" s="39">
        <f>I271-L271</f>
        <v>12301.6</v>
      </c>
      <c r="O271" s="38"/>
      <c r="P271" s="40">
        <v>1</v>
      </c>
    </row>
    <row r="272" spans="1:16" x14ac:dyDescent="0.25">
      <c r="A272" s="34">
        <v>266</v>
      </c>
      <c r="B272" s="41" t="s">
        <v>352</v>
      </c>
      <c r="C272" s="38">
        <v>1</v>
      </c>
      <c r="D272" s="38" t="s">
        <v>11</v>
      </c>
      <c r="E272" s="38" t="s">
        <v>125</v>
      </c>
      <c r="F272" s="38"/>
      <c r="G272" s="38"/>
      <c r="H272" s="42">
        <v>45498</v>
      </c>
      <c r="I272" s="43">
        <v>15377</v>
      </c>
      <c r="J272" s="38">
        <v>5</v>
      </c>
      <c r="K272" s="39">
        <v>0</v>
      </c>
      <c r="L272" s="54">
        <f>M272*P272</f>
        <v>3075.4</v>
      </c>
      <c r="M272" s="39">
        <f>(I272-K272)/J272</f>
        <v>3075.4</v>
      </c>
      <c r="N272" s="39">
        <f>I272-L272</f>
        <v>12301.6</v>
      </c>
      <c r="O272" s="38"/>
      <c r="P272" s="40">
        <v>1</v>
      </c>
    </row>
    <row r="273" spans="1:16" x14ac:dyDescent="0.25">
      <c r="A273" s="34">
        <v>267</v>
      </c>
      <c r="B273" s="41" t="s">
        <v>349</v>
      </c>
      <c r="C273" s="38">
        <v>1</v>
      </c>
      <c r="D273" s="38" t="s">
        <v>9</v>
      </c>
      <c r="E273" s="38" t="s">
        <v>350</v>
      </c>
      <c r="F273" s="38"/>
      <c r="G273" s="38"/>
      <c r="H273" s="42">
        <v>45499</v>
      </c>
      <c r="I273" s="43">
        <v>195000</v>
      </c>
      <c r="J273" s="38">
        <v>10</v>
      </c>
      <c r="K273" s="39">
        <v>19500</v>
      </c>
      <c r="L273" s="54">
        <f>M273*P273</f>
        <v>17550</v>
      </c>
      <c r="M273" s="39">
        <f>(I273-K273)/J273</f>
        <v>17550</v>
      </c>
      <c r="N273" s="39">
        <f>I273-L273</f>
        <v>177450</v>
      </c>
      <c r="O273" s="38"/>
      <c r="P273" s="40">
        <v>1</v>
      </c>
    </row>
    <row r="274" spans="1:16" x14ac:dyDescent="0.25">
      <c r="A274" s="34">
        <v>268</v>
      </c>
      <c r="B274" s="41" t="s">
        <v>342</v>
      </c>
      <c r="C274" s="38"/>
      <c r="D274" s="38" t="s">
        <v>11</v>
      </c>
      <c r="E274" s="38" t="s">
        <v>272</v>
      </c>
      <c r="F274" s="38"/>
      <c r="G274" s="38"/>
      <c r="H274" s="42">
        <v>45503</v>
      </c>
      <c r="I274" s="43">
        <v>332279.09999999998</v>
      </c>
      <c r="J274" s="38">
        <v>5</v>
      </c>
      <c r="K274" s="39">
        <v>33227.910000000003</v>
      </c>
      <c r="L274" s="54">
        <f>M274*P274</f>
        <v>59810.23799999999</v>
      </c>
      <c r="M274" s="39">
        <f>(I274-K274)/J274</f>
        <v>59810.23799999999</v>
      </c>
      <c r="N274" s="39">
        <f>I274-L274</f>
        <v>272468.86199999996</v>
      </c>
      <c r="O274" s="38"/>
      <c r="P274" s="40">
        <v>1</v>
      </c>
    </row>
    <row r="275" spans="1:16" x14ac:dyDescent="0.25">
      <c r="A275" s="34">
        <v>269</v>
      </c>
      <c r="B275" s="41" t="s">
        <v>353</v>
      </c>
      <c r="C275" s="38"/>
      <c r="D275" s="38" t="s">
        <v>11</v>
      </c>
      <c r="E275" s="38" t="s">
        <v>272</v>
      </c>
      <c r="F275" s="38"/>
      <c r="G275" s="38"/>
      <c r="H275" s="42">
        <v>45503</v>
      </c>
      <c r="I275" s="43">
        <v>621682.30000000005</v>
      </c>
      <c r="J275" s="38">
        <v>5</v>
      </c>
      <c r="K275" s="39">
        <v>62168.23</v>
      </c>
      <c r="L275" s="54">
        <f>M275*P275</f>
        <v>111902.81400000001</v>
      </c>
      <c r="M275" s="39">
        <f>(I275-K275)/J275</f>
        <v>111902.81400000001</v>
      </c>
      <c r="N275" s="39">
        <f>I275-L275</f>
        <v>509779.48600000003</v>
      </c>
      <c r="O275" s="38"/>
      <c r="P275" s="40">
        <v>1</v>
      </c>
    </row>
    <row r="276" spans="1:16" x14ac:dyDescent="0.25">
      <c r="A276" s="34">
        <v>270</v>
      </c>
      <c r="B276" s="41" t="s">
        <v>354</v>
      </c>
      <c r="C276" s="38">
        <v>4</v>
      </c>
      <c r="D276" s="38" t="s">
        <v>11</v>
      </c>
      <c r="E276" s="38" t="s">
        <v>125</v>
      </c>
      <c r="F276" s="38"/>
      <c r="G276" s="38"/>
      <c r="H276" s="42">
        <v>45504</v>
      </c>
      <c r="I276" s="43">
        <v>3740</v>
      </c>
      <c r="J276" s="38">
        <v>5</v>
      </c>
      <c r="K276" s="39">
        <v>0</v>
      </c>
      <c r="L276" s="54">
        <f>M276*P276</f>
        <v>748</v>
      </c>
      <c r="M276" s="39">
        <f>(I276-K276)/J276</f>
        <v>748</v>
      </c>
      <c r="N276" s="39">
        <f>I276-L276</f>
        <v>2992</v>
      </c>
      <c r="O276" s="38" t="s">
        <v>355</v>
      </c>
      <c r="P276" s="40">
        <v>1</v>
      </c>
    </row>
    <row r="277" spans="1:16" ht="30" x14ac:dyDescent="0.25">
      <c r="A277" s="34">
        <v>271</v>
      </c>
      <c r="B277" s="41" t="s">
        <v>356</v>
      </c>
      <c r="C277" s="38">
        <v>4</v>
      </c>
      <c r="D277" s="38" t="s">
        <v>11</v>
      </c>
      <c r="E277" s="38" t="s">
        <v>125</v>
      </c>
      <c r="F277" s="38"/>
      <c r="G277" s="38"/>
      <c r="H277" s="42">
        <v>45510</v>
      </c>
      <c r="I277" s="43">
        <v>4900</v>
      </c>
      <c r="J277" s="38">
        <v>5</v>
      </c>
      <c r="K277" s="39">
        <v>0</v>
      </c>
      <c r="L277" s="54">
        <f>M277*P277</f>
        <v>980</v>
      </c>
      <c r="M277" s="39">
        <f>(I277-K277)/J277</f>
        <v>980</v>
      </c>
      <c r="N277" s="39">
        <f>I277-L277</f>
        <v>3920</v>
      </c>
      <c r="O277" s="38" t="s">
        <v>357</v>
      </c>
      <c r="P277" s="40">
        <v>1</v>
      </c>
    </row>
    <row r="278" spans="1:16" x14ac:dyDescent="0.25">
      <c r="A278" s="34">
        <v>272</v>
      </c>
      <c r="B278" s="41" t="s">
        <v>358</v>
      </c>
      <c r="C278" s="38">
        <v>11</v>
      </c>
      <c r="D278" s="38" t="s">
        <v>11</v>
      </c>
      <c r="E278" s="38" t="s">
        <v>125</v>
      </c>
      <c r="F278" s="38"/>
      <c r="G278" s="38"/>
      <c r="H278" s="42">
        <v>45512</v>
      </c>
      <c r="I278" s="43">
        <v>12196.8</v>
      </c>
      <c r="J278" s="38">
        <v>5</v>
      </c>
      <c r="K278" s="39">
        <v>0</v>
      </c>
      <c r="L278" s="54">
        <f>M278*P278</f>
        <v>2439.3599999999997</v>
      </c>
      <c r="M278" s="39">
        <f>(I278-K278)/J278</f>
        <v>2439.3599999999997</v>
      </c>
      <c r="N278" s="39">
        <f>I278-L278</f>
        <v>9757.4399999999987</v>
      </c>
      <c r="O278" s="38" t="s">
        <v>359</v>
      </c>
      <c r="P278" s="40">
        <v>1</v>
      </c>
    </row>
    <row r="279" spans="1:16" x14ac:dyDescent="0.25">
      <c r="A279" s="34">
        <v>273</v>
      </c>
      <c r="B279" s="41" t="s">
        <v>138</v>
      </c>
      <c r="C279" s="38">
        <v>10</v>
      </c>
      <c r="D279" s="38" t="s">
        <v>11</v>
      </c>
      <c r="E279" s="38" t="s">
        <v>125</v>
      </c>
      <c r="F279" s="38"/>
      <c r="G279" s="38"/>
      <c r="H279" s="42">
        <v>45512</v>
      </c>
      <c r="I279" s="43">
        <v>5800</v>
      </c>
      <c r="J279" s="38">
        <v>5</v>
      </c>
      <c r="K279" s="39">
        <v>0</v>
      </c>
      <c r="L279" s="54">
        <f>M279*P279</f>
        <v>1160</v>
      </c>
      <c r="M279" s="39">
        <f>(I279-K279)/J279</f>
        <v>1160</v>
      </c>
      <c r="N279" s="39">
        <f>I279-L279</f>
        <v>4640</v>
      </c>
      <c r="O279" s="38" t="s">
        <v>245</v>
      </c>
      <c r="P279" s="40">
        <v>1</v>
      </c>
    </row>
    <row r="280" spans="1:16" x14ac:dyDescent="0.25">
      <c r="A280" s="34">
        <v>274</v>
      </c>
      <c r="B280" s="46" t="s">
        <v>360</v>
      </c>
      <c r="C280" s="73">
        <v>1</v>
      </c>
      <c r="D280" s="73" t="s">
        <v>9</v>
      </c>
      <c r="E280" s="73" t="s">
        <v>57</v>
      </c>
      <c r="F280" s="73"/>
      <c r="G280" s="73" t="s">
        <v>361</v>
      </c>
      <c r="H280" s="74">
        <v>45513</v>
      </c>
      <c r="I280" s="75">
        <v>28800</v>
      </c>
      <c r="J280" s="73">
        <v>10</v>
      </c>
      <c r="K280" s="70">
        <v>0</v>
      </c>
      <c r="L280" s="76">
        <v>28800</v>
      </c>
      <c r="M280" s="70">
        <v>5760</v>
      </c>
      <c r="N280" s="70">
        <v>0</v>
      </c>
      <c r="O280" s="73" t="s">
        <v>362</v>
      </c>
      <c r="P280" s="77">
        <v>0</v>
      </c>
    </row>
    <row r="281" spans="1:16" x14ac:dyDescent="0.25">
      <c r="A281" s="34">
        <v>275</v>
      </c>
      <c r="B281" s="41" t="s">
        <v>363</v>
      </c>
      <c r="C281" s="38">
        <v>1</v>
      </c>
      <c r="D281" s="38" t="s">
        <v>9</v>
      </c>
      <c r="E281" s="38" t="s">
        <v>364</v>
      </c>
      <c r="F281" s="38"/>
      <c r="G281" s="38"/>
      <c r="H281" s="42">
        <v>45523</v>
      </c>
      <c r="I281" s="43">
        <v>33390.18</v>
      </c>
      <c r="J281" s="38">
        <v>5</v>
      </c>
      <c r="K281" s="39">
        <v>0</v>
      </c>
      <c r="L281" s="54">
        <f>M281*P281</f>
        <v>6678.0360000000001</v>
      </c>
      <c r="M281" s="39">
        <f>(I281-K281)/J281</f>
        <v>6678.0360000000001</v>
      </c>
      <c r="N281" s="39">
        <f>I281-L281</f>
        <v>26712.144</v>
      </c>
      <c r="O281" s="38"/>
      <c r="P281" s="40">
        <v>1</v>
      </c>
    </row>
    <row r="282" spans="1:16" x14ac:dyDescent="0.25">
      <c r="A282" s="34">
        <v>276</v>
      </c>
      <c r="B282" s="41" t="s">
        <v>368</v>
      </c>
      <c r="C282" s="38">
        <v>100</v>
      </c>
      <c r="D282" s="38" t="s">
        <v>10</v>
      </c>
      <c r="E282" s="38" t="s">
        <v>101</v>
      </c>
      <c r="F282" s="38"/>
      <c r="G282" s="38"/>
      <c r="H282" s="42">
        <v>45524</v>
      </c>
      <c r="I282" s="43">
        <v>14660</v>
      </c>
      <c r="J282" s="38">
        <v>5</v>
      </c>
      <c r="K282" s="39">
        <v>1438</v>
      </c>
      <c r="L282" s="54">
        <f>M282*P282</f>
        <v>2644.4</v>
      </c>
      <c r="M282" s="39">
        <f>(I282-K282)/J282</f>
        <v>2644.4</v>
      </c>
      <c r="N282" s="39">
        <f>I282-L282</f>
        <v>12015.6</v>
      </c>
      <c r="O282" s="38" t="s">
        <v>369</v>
      </c>
      <c r="P282" s="40">
        <v>1</v>
      </c>
    </row>
    <row r="283" spans="1:16" x14ac:dyDescent="0.25">
      <c r="A283" s="34">
        <v>277</v>
      </c>
      <c r="B283" s="41" t="s">
        <v>370</v>
      </c>
      <c r="C283" s="38">
        <v>1</v>
      </c>
      <c r="D283" s="38" t="s">
        <v>9</v>
      </c>
      <c r="E283" s="38" t="s">
        <v>318</v>
      </c>
      <c r="F283" s="38"/>
      <c r="G283" s="38"/>
      <c r="H283" s="42">
        <v>45525</v>
      </c>
      <c r="I283" s="43">
        <v>34840</v>
      </c>
      <c r="J283" s="38">
        <v>5</v>
      </c>
      <c r="K283" s="39">
        <v>3840</v>
      </c>
      <c r="L283" s="54">
        <f>M283*P283</f>
        <v>6200</v>
      </c>
      <c r="M283" s="39">
        <f>(I283-K283)/J283</f>
        <v>6200</v>
      </c>
      <c r="N283" s="39">
        <f>I283-L283</f>
        <v>28640</v>
      </c>
      <c r="O283" s="38"/>
      <c r="P283" s="40">
        <v>1</v>
      </c>
    </row>
    <row r="284" spans="1:16" x14ac:dyDescent="0.25">
      <c r="A284" s="34">
        <v>278</v>
      </c>
      <c r="B284" s="38" t="s">
        <v>377</v>
      </c>
      <c r="C284" s="38">
        <v>1</v>
      </c>
      <c r="D284" s="38" t="s">
        <v>11</v>
      </c>
      <c r="E284" s="38" t="s">
        <v>31</v>
      </c>
      <c r="F284" s="38"/>
      <c r="G284" s="38"/>
      <c r="H284" s="42">
        <v>45525</v>
      </c>
      <c r="I284" s="43">
        <v>10789.8</v>
      </c>
      <c r="J284" s="38">
        <v>5</v>
      </c>
      <c r="K284" s="39">
        <v>0</v>
      </c>
      <c r="L284" s="54">
        <f>M284*P284</f>
        <v>2157.96</v>
      </c>
      <c r="M284" s="39">
        <f>(I284-K284)/J284</f>
        <v>2157.96</v>
      </c>
      <c r="N284" s="39">
        <f>I284-L284</f>
        <v>8631.84</v>
      </c>
      <c r="O284" s="38"/>
      <c r="P284" s="40">
        <v>1</v>
      </c>
    </row>
    <row r="285" spans="1:16" x14ac:dyDescent="0.25">
      <c r="A285" s="34">
        <v>279</v>
      </c>
      <c r="B285" s="41" t="s">
        <v>365</v>
      </c>
      <c r="C285" s="38">
        <v>2000</v>
      </c>
      <c r="D285" s="38" t="s">
        <v>10</v>
      </c>
      <c r="E285" s="38" t="s">
        <v>366</v>
      </c>
      <c r="F285" s="38"/>
      <c r="G285" s="38"/>
      <c r="H285" s="42">
        <v>45526</v>
      </c>
      <c r="I285" s="43">
        <v>63000</v>
      </c>
      <c r="J285" s="38">
        <v>5</v>
      </c>
      <c r="K285" s="39">
        <v>3150</v>
      </c>
      <c r="L285" s="54">
        <f>M285*P285</f>
        <v>11970</v>
      </c>
      <c r="M285" s="39">
        <f>(I285-K285)/J285</f>
        <v>11970</v>
      </c>
      <c r="N285" s="39">
        <f>I285-L285</f>
        <v>51030</v>
      </c>
      <c r="O285" s="38" t="s">
        <v>367</v>
      </c>
      <c r="P285" s="40">
        <v>1</v>
      </c>
    </row>
    <row r="286" spans="1:16" x14ac:dyDescent="0.25">
      <c r="A286" s="34">
        <v>280</v>
      </c>
      <c r="B286" s="41" t="s">
        <v>371</v>
      </c>
      <c r="C286" s="38">
        <v>1</v>
      </c>
      <c r="D286" s="38" t="s">
        <v>9</v>
      </c>
      <c r="E286" s="38" t="s">
        <v>372</v>
      </c>
      <c r="F286" s="38"/>
      <c r="G286" s="38"/>
      <c r="H286" s="42">
        <v>45527</v>
      </c>
      <c r="I286" s="43">
        <v>7699</v>
      </c>
      <c r="J286" s="38">
        <v>10</v>
      </c>
      <c r="K286" s="39">
        <v>769.9</v>
      </c>
      <c r="L286" s="54">
        <f>M286*P286</f>
        <v>692.91000000000008</v>
      </c>
      <c r="M286" s="39">
        <f>(I286-K286)/J286</f>
        <v>692.91000000000008</v>
      </c>
      <c r="N286" s="39">
        <f>I286-L286</f>
        <v>7006.09</v>
      </c>
      <c r="O286" s="38"/>
      <c r="P286" s="40">
        <v>1</v>
      </c>
    </row>
    <row r="287" spans="1:16" x14ac:dyDescent="0.25">
      <c r="A287" s="34">
        <v>281</v>
      </c>
      <c r="B287" s="41" t="s">
        <v>373</v>
      </c>
      <c r="C287" s="38">
        <v>1</v>
      </c>
      <c r="D287" s="38" t="s">
        <v>11</v>
      </c>
      <c r="E287" s="38" t="s">
        <v>125</v>
      </c>
      <c r="F287" s="38"/>
      <c r="G287" s="38"/>
      <c r="H287" s="42">
        <v>45532</v>
      </c>
      <c r="I287" s="43">
        <v>8165</v>
      </c>
      <c r="J287" s="38">
        <v>5</v>
      </c>
      <c r="K287" s="39">
        <v>0</v>
      </c>
      <c r="L287" s="54">
        <f>M287*P287</f>
        <v>1633</v>
      </c>
      <c r="M287" s="39">
        <f>(I287-K287)/J287</f>
        <v>1633</v>
      </c>
      <c r="N287" s="39">
        <f>I287-L287</f>
        <v>6532</v>
      </c>
      <c r="O287" s="38"/>
      <c r="P287" s="40">
        <v>1</v>
      </c>
    </row>
    <row r="288" spans="1:16" x14ac:dyDescent="0.25">
      <c r="A288" s="34">
        <v>282</v>
      </c>
      <c r="B288" s="41" t="s">
        <v>375</v>
      </c>
      <c r="C288" s="38">
        <v>1</v>
      </c>
      <c r="D288" s="38" t="s">
        <v>9</v>
      </c>
      <c r="E288" s="38" t="s">
        <v>108</v>
      </c>
      <c r="F288" s="38"/>
      <c r="G288" s="38"/>
      <c r="H288" s="42">
        <v>45538</v>
      </c>
      <c r="I288" s="43">
        <v>1935.45</v>
      </c>
      <c r="J288" s="38">
        <v>5</v>
      </c>
      <c r="K288" s="39">
        <v>0</v>
      </c>
      <c r="L288" s="54">
        <f>M288*P288</f>
        <v>387.09000000000003</v>
      </c>
      <c r="M288" s="39">
        <f>(I288-K288)/J288</f>
        <v>387.09000000000003</v>
      </c>
      <c r="N288" s="39">
        <f>I288-L288</f>
        <v>1548.3600000000001</v>
      </c>
      <c r="O288" s="38"/>
      <c r="P288" s="40">
        <v>1</v>
      </c>
    </row>
    <row r="289" spans="1:16" x14ac:dyDescent="0.25">
      <c r="A289" s="34">
        <v>283</v>
      </c>
      <c r="B289" s="38" t="s">
        <v>376</v>
      </c>
      <c r="C289" s="38">
        <v>1</v>
      </c>
      <c r="D289" s="38" t="s">
        <v>9</v>
      </c>
      <c r="E289" s="38" t="s">
        <v>108</v>
      </c>
      <c r="F289" s="38"/>
      <c r="G289" s="38"/>
      <c r="H289" s="42">
        <v>45538</v>
      </c>
      <c r="I289" s="43">
        <v>907.27</v>
      </c>
      <c r="J289" s="38">
        <v>5</v>
      </c>
      <c r="K289" s="39">
        <v>0</v>
      </c>
      <c r="L289" s="54">
        <f>M289*P289</f>
        <v>181.45400000000001</v>
      </c>
      <c r="M289" s="39">
        <f>(I289-K289)/J289</f>
        <v>181.45400000000001</v>
      </c>
      <c r="N289" s="39">
        <f>I289-L289</f>
        <v>725.81600000000003</v>
      </c>
      <c r="O289" s="38"/>
      <c r="P289" s="40">
        <v>1</v>
      </c>
    </row>
    <row r="290" spans="1:16" ht="30" x14ac:dyDescent="0.25">
      <c r="A290" s="34">
        <v>284</v>
      </c>
      <c r="B290" s="41" t="s">
        <v>382</v>
      </c>
      <c r="C290" s="38">
        <v>1</v>
      </c>
      <c r="D290" s="38" t="s">
        <v>11</v>
      </c>
      <c r="E290" s="38" t="s">
        <v>35</v>
      </c>
      <c r="F290" s="38"/>
      <c r="G290" s="38"/>
      <c r="H290" s="42">
        <v>45538</v>
      </c>
      <c r="I290" s="43">
        <v>4182.1000000000004</v>
      </c>
      <c r="J290" s="38">
        <v>3</v>
      </c>
      <c r="K290" s="39">
        <v>0</v>
      </c>
      <c r="L290" s="54">
        <f>M290*P290</f>
        <v>1394.0333333333335</v>
      </c>
      <c r="M290" s="39">
        <f>(I290-K290)/J290</f>
        <v>1394.0333333333335</v>
      </c>
      <c r="N290" s="39">
        <f>I290-L290</f>
        <v>2788.0666666666666</v>
      </c>
      <c r="O290" s="38"/>
      <c r="P290" s="40">
        <v>1</v>
      </c>
    </row>
    <row r="291" spans="1:16" ht="30" x14ac:dyDescent="0.25">
      <c r="A291" s="34">
        <v>285</v>
      </c>
      <c r="B291" s="41" t="s">
        <v>383</v>
      </c>
      <c r="C291" s="38">
        <v>1</v>
      </c>
      <c r="D291" s="38" t="s">
        <v>11</v>
      </c>
      <c r="E291" s="38" t="s">
        <v>35</v>
      </c>
      <c r="F291" s="38"/>
      <c r="G291" s="38"/>
      <c r="H291" s="42">
        <v>45538</v>
      </c>
      <c r="I291" s="43">
        <v>4533.8</v>
      </c>
      <c r="J291" s="38">
        <v>3</v>
      </c>
      <c r="K291" s="39">
        <v>0</v>
      </c>
      <c r="L291" s="54">
        <f>M291*P291</f>
        <v>1511.2666666666667</v>
      </c>
      <c r="M291" s="39">
        <f>(I291-K291)/J291</f>
        <v>1511.2666666666667</v>
      </c>
      <c r="N291" s="39">
        <f>I291-L291</f>
        <v>3022.5333333333338</v>
      </c>
      <c r="O291" s="38"/>
      <c r="P291" s="40">
        <v>1</v>
      </c>
    </row>
    <row r="292" spans="1:16" ht="30" x14ac:dyDescent="0.25">
      <c r="A292" s="34">
        <v>286</v>
      </c>
      <c r="B292" s="41" t="s">
        <v>374</v>
      </c>
      <c r="C292" s="38">
        <v>1</v>
      </c>
      <c r="D292" s="38" t="s">
        <v>9</v>
      </c>
      <c r="E292" s="38" t="s">
        <v>201</v>
      </c>
      <c r="F292" s="38"/>
      <c r="G292" s="38"/>
      <c r="H292" s="42">
        <v>45539</v>
      </c>
      <c r="I292" s="43">
        <v>1253.3399999999999</v>
      </c>
      <c r="J292" s="38">
        <v>5</v>
      </c>
      <c r="K292" s="39">
        <v>0</v>
      </c>
      <c r="L292" s="54">
        <f>M292*P292</f>
        <v>250.66799999999998</v>
      </c>
      <c r="M292" s="39">
        <f>(I292-K292)/J292</f>
        <v>250.66799999999998</v>
      </c>
      <c r="N292" s="39">
        <f>I292-L292</f>
        <v>1002.6719999999999</v>
      </c>
      <c r="O292" s="38"/>
      <c r="P292" s="40">
        <v>1</v>
      </c>
    </row>
    <row r="293" spans="1:16" ht="30" x14ac:dyDescent="0.25">
      <c r="A293" s="34">
        <v>287</v>
      </c>
      <c r="B293" s="41" t="s">
        <v>379</v>
      </c>
      <c r="C293" s="38">
        <v>15</v>
      </c>
      <c r="D293" s="38" t="s">
        <v>11</v>
      </c>
      <c r="E293" s="38" t="s">
        <v>135</v>
      </c>
      <c r="F293" s="38"/>
      <c r="G293" s="38"/>
      <c r="H293" s="42">
        <v>45540</v>
      </c>
      <c r="I293" s="43">
        <v>16632</v>
      </c>
      <c r="J293" s="38">
        <v>5</v>
      </c>
      <c r="K293" s="39">
        <v>0</v>
      </c>
      <c r="L293" s="54">
        <f>M293*P293</f>
        <v>3326.4</v>
      </c>
      <c r="M293" s="39">
        <f>(I293-K293)/J293</f>
        <v>3326.4</v>
      </c>
      <c r="N293" s="39">
        <f>I293-L293</f>
        <v>13305.6</v>
      </c>
      <c r="O293" s="38" t="s">
        <v>359</v>
      </c>
      <c r="P293" s="40">
        <v>1</v>
      </c>
    </row>
    <row r="294" spans="1:16" x14ac:dyDescent="0.25">
      <c r="A294" s="34">
        <v>288</v>
      </c>
      <c r="B294" s="38" t="s">
        <v>378</v>
      </c>
      <c r="C294" s="38">
        <v>1</v>
      </c>
      <c r="D294" s="38" t="s">
        <v>8</v>
      </c>
      <c r="E294" s="38" t="s">
        <v>189</v>
      </c>
      <c r="F294" s="38"/>
      <c r="G294" s="38"/>
      <c r="H294" s="42">
        <v>45541</v>
      </c>
      <c r="I294" s="43">
        <v>1670</v>
      </c>
      <c r="J294" s="38">
        <v>3</v>
      </c>
      <c r="K294" s="39">
        <v>0</v>
      </c>
      <c r="L294" s="54">
        <f>M294*P294</f>
        <v>556.66666666666663</v>
      </c>
      <c r="M294" s="39">
        <f>(I294-K294)/J294</f>
        <v>556.66666666666663</v>
      </c>
      <c r="N294" s="39">
        <f>I294-L294</f>
        <v>1113.3333333333335</v>
      </c>
      <c r="O294" s="38"/>
      <c r="P294" s="40">
        <v>1</v>
      </c>
    </row>
    <row r="295" spans="1:16" x14ac:dyDescent="0.25">
      <c r="A295" s="34">
        <v>289</v>
      </c>
      <c r="B295" s="38" t="s">
        <v>380</v>
      </c>
      <c r="C295" s="38">
        <v>16</v>
      </c>
      <c r="D295" s="38" t="s">
        <v>11</v>
      </c>
      <c r="E295" s="38" t="s">
        <v>101</v>
      </c>
      <c r="F295" s="38"/>
      <c r="G295" s="38"/>
      <c r="H295" s="42">
        <v>45541</v>
      </c>
      <c r="I295" s="43">
        <v>25426.17</v>
      </c>
      <c r="J295" s="38">
        <v>5</v>
      </c>
      <c r="K295" s="39">
        <v>2542.61</v>
      </c>
      <c r="L295" s="54">
        <f>M295*P295</f>
        <v>4576.7119999999995</v>
      </c>
      <c r="M295" s="39">
        <f>(I295-K295)/J295</f>
        <v>4576.7119999999995</v>
      </c>
      <c r="N295" s="39">
        <f>I295-L295</f>
        <v>20849.457999999999</v>
      </c>
      <c r="O295" s="38" t="s">
        <v>381</v>
      </c>
      <c r="P295" s="40">
        <v>1</v>
      </c>
    </row>
    <row r="296" spans="1:16" x14ac:dyDescent="0.25">
      <c r="A296" s="34">
        <v>290</v>
      </c>
      <c r="B296" s="38" t="s">
        <v>368</v>
      </c>
      <c r="C296" s="38">
        <v>200</v>
      </c>
      <c r="D296" s="38" t="s">
        <v>11</v>
      </c>
      <c r="E296" s="38" t="s">
        <v>101</v>
      </c>
      <c r="F296" s="38"/>
      <c r="G296" s="38"/>
      <c r="H296" s="42">
        <v>45544</v>
      </c>
      <c r="I296" s="43">
        <v>29370</v>
      </c>
      <c r="J296" s="38">
        <v>5</v>
      </c>
      <c r="K296" s="39">
        <v>2937</v>
      </c>
      <c r="L296" s="54">
        <f>M296*P296</f>
        <v>5286.6</v>
      </c>
      <c r="M296" s="39">
        <f>(I296-K296)/J296</f>
        <v>5286.6</v>
      </c>
      <c r="N296" s="39">
        <f>I296-L296</f>
        <v>24083.4</v>
      </c>
      <c r="O296" s="38" t="s">
        <v>384</v>
      </c>
      <c r="P296" s="40">
        <v>1</v>
      </c>
    </row>
    <row r="297" spans="1:16" x14ac:dyDescent="0.25">
      <c r="A297" s="34">
        <v>291</v>
      </c>
      <c r="B297" s="38" t="s">
        <v>385</v>
      </c>
      <c r="C297" s="38">
        <v>1</v>
      </c>
      <c r="D297" s="38" t="s">
        <v>9</v>
      </c>
      <c r="E297" s="38" t="s">
        <v>386</v>
      </c>
      <c r="F297" s="38"/>
      <c r="G297" s="38"/>
      <c r="H297" s="42">
        <v>45548</v>
      </c>
      <c r="I297" s="43">
        <v>52887.11</v>
      </c>
      <c r="J297" s="38">
        <v>5</v>
      </c>
      <c r="K297" s="39">
        <v>5288.71</v>
      </c>
      <c r="L297" s="54">
        <f>M297*P297</f>
        <v>9519.68</v>
      </c>
      <c r="M297" s="39">
        <f>(I297-K297)/J297</f>
        <v>9519.68</v>
      </c>
      <c r="N297" s="39">
        <f>I297-L297</f>
        <v>43367.43</v>
      </c>
      <c r="O297" s="38"/>
      <c r="P297" s="40">
        <v>1</v>
      </c>
    </row>
    <row r="298" spans="1:16" x14ac:dyDescent="0.25">
      <c r="A298" s="34">
        <v>292</v>
      </c>
      <c r="B298" s="38" t="s">
        <v>387</v>
      </c>
      <c r="C298" s="38">
        <v>1</v>
      </c>
      <c r="D298" s="38" t="s">
        <v>8</v>
      </c>
      <c r="E298" s="38" t="s">
        <v>92</v>
      </c>
      <c r="F298" s="38"/>
      <c r="G298" s="38"/>
      <c r="H298" s="42">
        <v>45551</v>
      </c>
      <c r="I298" s="43">
        <v>1222</v>
      </c>
      <c r="J298" s="38">
        <v>3</v>
      </c>
      <c r="K298" s="39">
        <v>0</v>
      </c>
      <c r="L298" s="54">
        <f>M298*P298</f>
        <v>407.33333333333331</v>
      </c>
      <c r="M298" s="39">
        <f>(I298-K298)/J298</f>
        <v>407.33333333333331</v>
      </c>
      <c r="N298" s="39">
        <f>I298-L298</f>
        <v>814.66666666666674</v>
      </c>
      <c r="O298" s="38"/>
      <c r="P298" s="40">
        <v>1</v>
      </c>
    </row>
    <row r="299" spans="1:16" x14ac:dyDescent="0.25">
      <c r="A299" s="34">
        <v>293</v>
      </c>
      <c r="B299" s="38" t="s">
        <v>390</v>
      </c>
      <c r="C299" s="38">
        <v>1</v>
      </c>
      <c r="D299" s="41" t="s">
        <v>7</v>
      </c>
      <c r="E299" s="41" t="s">
        <v>236</v>
      </c>
      <c r="F299" s="38"/>
      <c r="G299" s="38"/>
      <c r="H299" s="42">
        <v>45551</v>
      </c>
      <c r="I299" s="43">
        <v>1495</v>
      </c>
      <c r="J299" s="38">
        <v>10</v>
      </c>
      <c r="K299" s="39">
        <v>0</v>
      </c>
      <c r="L299" s="54">
        <f>M299*P299</f>
        <v>149.5</v>
      </c>
      <c r="M299" s="39">
        <f>(I299-K299)/J299</f>
        <v>149.5</v>
      </c>
      <c r="N299" s="39">
        <f>I299-L299</f>
        <v>1345.5</v>
      </c>
      <c r="O299" s="38"/>
      <c r="P299" s="40">
        <v>1</v>
      </c>
    </row>
    <row r="300" spans="1:16" x14ac:dyDescent="0.25">
      <c r="A300" s="34">
        <v>294</v>
      </c>
      <c r="B300" s="38" t="s">
        <v>388</v>
      </c>
      <c r="C300" s="38">
        <v>1</v>
      </c>
      <c r="D300" s="38" t="s">
        <v>7</v>
      </c>
      <c r="E300" s="38" t="s">
        <v>63</v>
      </c>
      <c r="F300" s="38"/>
      <c r="G300" s="38"/>
      <c r="H300" s="42">
        <v>45553</v>
      </c>
      <c r="I300" s="43">
        <v>11472</v>
      </c>
      <c r="J300" s="38">
        <v>5</v>
      </c>
      <c r="K300" s="39">
        <v>2294.4</v>
      </c>
      <c r="L300" s="54">
        <f>M300*P300</f>
        <v>1835.52</v>
      </c>
      <c r="M300" s="39">
        <f>(I300-K300)/J300</f>
        <v>1835.52</v>
      </c>
      <c r="N300" s="39">
        <f>I300-L300</f>
        <v>9636.48</v>
      </c>
      <c r="O300" s="38"/>
      <c r="P300" s="71">
        <v>1</v>
      </c>
    </row>
    <row r="301" spans="1:16" ht="30" x14ac:dyDescent="0.25">
      <c r="A301" s="34">
        <v>295</v>
      </c>
      <c r="B301" s="41" t="s">
        <v>389</v>
      </c>
      <c r="C301" s="38">
        <v>1</v>
      </c>
      <c r="D301" s="38" t="s">
        <v>7</v>
      </c>
      <c r="E301" s="38" t="s">
        <v>63</v>
      </c>
      <c r="F301" s="38"/>
      <c r="G301" s="38"/>
      <c r="H301" s="42">
        <v>45553</v>
      </c>
      <c r="I301" s="43">
        <v>8040</v>
      </c>
      <c r="J301" s="38">
        <v>5</v>
      </c>
      <c r="K301" s="39">
        <v>1608</v>
      </c>
      <c r="L301" s="54">
        <f>M301*P301</f>
        <v>1286.4000000000001</v>
      </c>
      <c r="M301" s="39">
        <f>(I301-K301)/J301</f>
        <v>1286.4000000000001</v>
      </c>
      <c r="N301" s="39">
        <f>I301-L301</f>
        <v>6753.6</v>
      </c>
      <c r="O301" s="38"/>
      <c r="P301" s="40">
        <v>1</v>
      </c>
    </row>
    <row r="302" spans="1:16" x14ac:dyDescent="0.25">
      <c r="A302" s="34">
        <v>296</v>
      </c>
      <c r="B302" s="38" t="s">
        <v>336</v>
      </c>
      <c r="C302" s="38">
        <v>4</v>
      </c>
      <c r="D302" s="38" t="s">
        <v>11</v>
      </c>
      <c r="E302" s="38" t="s">
        <v>82</v>
      </c>
      <c r="F302" s="38"/>
      <c r="G302" s="38"/>
      <c r="H302" s="42">
        <v>45554</v>
      </c>
      <c r="I302" s="43">
        <v>20217.599999999999</v>
      </c>
      <c r="J302" s="38">
        <v>10</v>
      </c>
      <c r="K302" s="39">
        <v>0</v>
      </c>
      <c r="L302" s="54">
        <f>M302*P302</f>
        <v>2021.7599999999998</v>
      </c>
      <c r="M302" s="39">
        <f>(I302-K302)/J302</f>
        <v>2021.7599999999998</v>
      </c>
      <c r="N302" s="39">
        <f>I302-L302</f>
        <v>18195.84</v>
      </c>
      <c r="O302" s="38"/>
      <c r="P302" s="40">
        <v>1</v>
      </c>
    </row>
    <row r="303" spans="1:16" x14ac:dyDescent="0.25">
      <c r="A303" s="34">
        <v>297</v>
      </c>
      <c r="B303" s="38" t="s">
        <v>391</v>
      </c>
      <c r="C303" s="38">
        <v>1</v>
      </c>
      <c r="D303" s="38" t="s">
        <v>11</v>
      </c>
      <c r="E303" s="38" t="s">
        <v>125</v>
      </c>
      <c r="F303" s="38"/>
      <c r="G303" s="38"/>
      <c r="H303" s="42">
        <v>45559</v>
      </c>
      <c r="I303" s="43">
        <v>40671</v>
      </c>
      <c r="J303" s="38">
        <v>5</v>
      </c>
      <c r="K303" s="39">
        <v>0</v>
      </c>
      <c r="L303" s="54">
        <f>M303*P303</f>
        <v>8134.2</v>
      </c>
      <c r="M303" s="39">
        <f>(I303-K303)/J303</f>
        <v>8134.2</v>
      </c>
      <c r="N303" s="39">
        <f>I303-L303</f>
        <v>32536.799999999999</v>
      </c>
      <c r="O303" s="38"/>
      <c r="P303" s="40">
        <v>1</v>
      </c>
    </row>
    <row r="304" spans="1:16" x14ac:dyDescent="0.25">
      <c r="A304" s="34">
        <v>298</v>
      </c>
      <c r="B304" s="38" t="s">
        <v>392</v>
      </c>
      <c r="C304" s="38">
        <v>4</v>
      </c>
      <c r="D304" s="38" t="s">
        <v>11</v>
      </c>
      <c r="E304" s="38" t="s">
        <v>125</v>
      </c>
      <c r="F304" s="38"/>
      <c r="G304" s="38"/>
      <c r="H304" s="42">
        <v>45559</v>
      </c>
      <c r="I304" s="43">
        <v>2660</v>
      </c>
      <c r="J304" s="38">
        <v>5</v>
      </c>
      <c r="K304" s="39">
        <v>0</v>
      </c>
      <c r="L304" s="54">
        <f>M304*P304</f>
        <v>532</v>
      </c>
      <c r="M304" s="39">
        <f>(I304-K304)/J304</f>
        <v>532</v>
      </c>
      <c r="N304" s="39">
        <f>I304-L304</f>
        <v>2128</v>
      </c>
      <c r="O304" s="38" t="s">
        <v>393</v>
      </c>
      <c r="P304" s="40">
        <v>1</v>
      </c>
    </row>
    <row r="305" spans="1:16" x14ac:dyDescent="0.25">
      <c r="A305" s="34">
        <v>299</v>
      </c>
      <c r="B305" s="38" t="s">
        <v>394</v>
      </c>
      <c r="C305" s="38">
        <v>2</v>
      </c>
      <c r="D305" s="38" t="s">
        <v>11</v>
      </c>
      <c r="E305" s="38" t="s">
        <v>125</v>
      </c>
      <c r="F305" s="38"/>
      <c r="G305" s="38"/>
      <c r="H305" s="42">
        <v>45559</v>
      </c>
      <c r="I305" s="43">
        <v>1170</v>
      </c>
      <c r="J305" s="38">
        <v>5</v>
      </c>
      <c r="K305" s="39">
        <v>0</v>
      </c>
      <c r="L305" s="54">
        <f>M305*P305</f>
        <v>234</v>
      </c>
      <c r="M305" s="39">
        <f>(I305-K305)/J305</f>
        <v>234</v>
      </c>
      <c r="N305" s="39">
        <f>I305-L305</f>
        <v>936</v>
      </c>
      <c r="O305" s="38" t="s">
        <v>395</v>
      </c>
      <c r="P305" s="40">
        <v>1</v>
      </c>
    </row>
    <row r="306" spans="1:16" x14ac:dyDescent="0.25">
      <c r="A306" s="34">
        <v>300</v>
      </c>
      <c r="B306" s="38" t="s">
        <v>396</v>
      </c>
      <c r="C306" s="38">
        <v>1</v>
      </c>
      <c r="D306" s="38" t="s">
        <v>9</v>
      </c>
      <c r="E306" s="38" t="s">
        <v>397</v>
      </c>
      <c r="F306" s="38"/>
      <c r="G306" s="38"/>
      <c r="H306" s="42">
        <v>45560</v>
      </c>
      <c r="I306" s="43">
        <v>57914.3</v>
      </c>
      <c r="J306" s="38">
        <v>10</v>
      </c>
      <c r="K306" s="39">
        <v>0</v>
      </c>
      <c r="L306" s="54">
        <f>M306*P306</f>
        <v>5791.43</v>
      </c>
      <c r="M306" s="39">
        <f>(I306-K306)/J306</f>
        <v>5791.43</v>
      </c>
      <c r="N306" s="39">
        <f>I306-L306</f>
        <v>52122.87</v>
      </c>
      <c r="O306" s="38"/>
      <c r="P306" s="40">
        <v>1</v>
      </c>
    </row>
    <row r="307" spans="1:16" x14ac:dyDescent="0.25">
      <c r="A307" s="34">
        <v>301</v>
      </c>
      <c r="B307" s="38" t="s">
        <v>398</v>
      </c>
      <c r="C307" s="38">
        <v>1</v>
      </c>
      <c r="D307" s="38" t="s">
        <v>9</v>
      </c>
      <c r="E307" s="38" t="s">
        <v>399</v>
      </c>
      <c r="F307" s="38"/>
      <c r="G307" s="38"/>
      <c r="H307" s="42">
        <v>45560</v>
      </c>
      <c r="I307" s="43">
        <v>15000</v>
      </c>
      <c r="J307" s="38">
        <v>10</v>
      </c>
      <c r="K307" s="39">
        <v>3000</v>
      </c>
      <c r="L307" s="54">
        <f>M307*P307</f>
        <v>1200</v>
      </c>
      <c r="M307" s="39">
        <f>(I307-K307)/J307</f>
        <v>1200</v>
      </c>
      <c r="N307" s="39">
        <f>I307-L307</f>
        <v>13800</v>
      </c>
      <c r="O307" s="38"/>
      <c r="P307" s="40">
        <v>1</v>
      </c>
    </row>
    <row r="308" spans="1:16" x14ac:dyDescent="0.25">
      <c r="A308" s="34">
        <v>302</v>
      </c>
      <c r="B308" s="38" t="s">
        <v>400</v>
      </c>
      <c r="C308" s="38">
        <v>1</v>
      </c>
      <c r="D308" s="38" t="s">
        <v>9</v>
      </c>
      <c r="E308" s="38" t="s">
        <v>399</v>
      </c>
      <c r="F308" s="38"/>
      <c r="G308" s="38"/>
      <c r="H308" s="42">
        <v>45560</v>
      </c>
      <c r="I308" s="43">
        <v>18400</v>
      </c>
      <c r="J308" s="38">
        <v>10</v>
      </c>
      <c r="K308" s="39">
        <v>3680</v>
      </c>
      <c r="L308" s="54">
        <f>M308*P308</f>
        <v>1472</v>
      </c>
      <c r="M308" s="39">
        <f>(I308-K308)/J308</f>
        <v>1472</v>
      </c>
      <c r="N308" s="39">
        <f>I308-L308</f>
        <v>16928</v>
      </c>
      <c r="O308" s="38"/>
      <c r="P308" s="40">
        <v>1</v>
      </c>
    </row>
    <row r="309" spans="1:16" x14ac:dyDescent="0.25">
      <c r="A309" s="34">
        <v>303</v>
      </c>
      <c r="B309" s="38" t="s">
        <v>401</v>
      </c>
      <c r="C309" s="38">
        <v>1</v>
      </c>
      <c r="D309" s="38" t="s">
        <v>9</v>
      </c>
      <c r="E309" s="38" t="s">
        <v>82</v>
      </c>
      <c r="F309" s="38"/>
      <c r="G309" s="38"/>
      <c r="H309" s="42">
        <v>45561</v>
      </c>
      <c r="I309" s="43">
        <v>16200</v>
      </c>
      <c r="J309" s="38">
        <v>10</v>
      </c>
      <c r="K309" s="39">
        <v>0</v>
      </c>
      <c r="L309" s="54">
        <f>M309*P309</f>
        <v>1620</v>
      </c>
      <c r="M309" s="39">
        <f>(I309-K309)/J309</f>
        <v>1620</v>
      </c>
      <c r="N309" s="39">
        <f>I309-L309</f>
        <v>14580</v>
      </c>
      <c r="O309" s="38"/>
      <c r="P309" s="40">
        <v>1</v>
      </c>
    </row>
    <row r="310" spans="1:16" x14ac:dyDescent="0.25">
      <c r="A310" s="34">
        <v>304</v>
      </c>
      <c r="B310" s="38" t="s">
        <v>402</v>
      </c>
      <c r="C310" s="38">
        <v>8</v>
      </c>
      <c r="D310" s="38" t="s">
        <v>11</v>
      </c>
      <c r="E310" s="38" t="s">
        <v>101</v>
      </c>
      <c r="F310" s="38"/>
      <c r="G310" s="38"/>
      <c r="H310" s="42">
        <v>45562</v>
      </c>
      <c r="I310" s="43">
        <v>12272.72</v>
      </c>
      <c r="J310" s="38">
        <v>5</v>
      </c>
      <c r="K310" s="39">
        <v>1227.27</v>
      </c>
      <c r="L310" s="54">
        <f>M310*P310</f>
        <v>2209.0899999999997</v>
      </c>
      <c r="M310" s="39">
        <f>(I310-K310)/J310</f>
        <v>2209.0899999999997</v>
      </c>
      <c r="N310" s="39">
        <f>I310-L310</f>
        <v>10063.629999999999</v>
      </c>
      <c r="O310" s="72" t="s">
        <v>403</v>
      </c>
      <c r="P310" s="40">
        <v>1</v>
      </c>
    </row>
    <row r="311" spans="1:16" ht="30" x14ac:dyDescent="0.25">
      <c r="A311" s="34">
        <v>305</v>
      </c>
      <c r="B311" s="41" t="s">
        <v>404</v>
      </c>
      <c r="C311" s="38">
        <v>1</v>
      </c>
      <c r="D311" s="38" t="s">
        <v>11</v>
      </c>
      <c r="E311" s="38" t="s">
        <v>125</v>
      </c>
      <c r="F311" s="38"/>
      <c r="G311" s="38"/>
      <c r="H311" s="42">
        <v>45565</v>
      </c>
      <c r="I311" s="43">
        <v>1185</v>
      </c>
      <c r="J311" s="38">
        <v>5</v>
      </c>
      <c r="K311" s="39">
        <v>0</v>
      </c>
      <c r="L311" s="54">
        <f>M311*P311</f>
        <v>237</v>
      </c>
      <c r="M311" s="39">
        <f>(I311-K311)/J311</f>
        <v>237</v>
      </c>
      <c r="N311" s="39">
        <f>I311-L311</f>
        <v>948</v>
      </c>
      <c r="O311" s="38"/>
      <c r="P311" s="40">
        <v>1</v>
      </c>
    </row>
    <row r="312" spans="1:16" x14ac:dyDescent="0.25">
      <c r="A312" s="34">
        <v>306</v>
      </c>
      <c r="B312" s="38" t="s">
        <v>405</v>
      </c>
      <c r="C312" s="38">
        <v>1</v>
      </c>
      <c r="D312" s="38" t="s">
        <v>11</v>
      </c>
      <c r="E312" s="38" t="s">
        <v>35</v>
      </c>
      <c r="F312" s="38"/>
      <c r="G312" s="38"/>
      <c r="H312" s="42">
        <v>45565</v>
      </c>
      <c r="I312" s="43">
        <v>12770</v>
      </c>
      <c r="J312" s="38">
        <v>5</v>
      </c>
      <c r="K312" s="39">
        <v>1277</v>
      </c>
      <c r="L312" s="54">
        <f>M312*P312</f>
        <v>2298.6</v>
      </c>
      <c r="M312" s="39">
        <f>(I312-K312)/J312</f>
        <v>2298.6</v>
      </c>
      <c r="N312" s="39">
        <f>I312-L312</f>
        <v>10471.4</v>
      </c>
      <c r="O312" s="38"/>
      <c r="P312" s="40">
        <v>1</v>
      </c>
    </row>
    <row r="313" spans="1:16" x14ac:dyDescent="0.25">
      <c r="A313" s="34">
        <v>307</v>
      </c>
      <c r="B313" s="38" t="s">
        <v>336</v>
      </c>
      <c r="C313" s="38">
        <v>12</v>
      </c>
      <c r="D313" s="38" t="s">
        <v>9</v>
      </c>
      <c r="E313" s="38" t="s">
        <v>82</v>
      </c>
      <c r="F313" s="38"/>
      <c r="G313" s="38"/>
      <c r="H313" s="42">
        <v>45565</v>
      </c>
      <c r="I313" s="43">
        <v>60652</v>
      </c>
      <c r="J313" s="38">
        <v>10</v>
      </c>
      <c r="K313" s="39">
        <v>0</v>
      </c>
      <c r="L313" s="54">
        <f>M313*P313</f>
        <v>6065.2</v>
      </c>
      <c r="M313" s="39">
        <f>(I313-K313)/J313</f>
        <v>6065.2</v>
      </c>
      <c r="N313" s="39">
        <f>I313-L313</f>
        <v>54586.8</v>
      </c>
      <c r="O313" s="38" t="s">
        <v>407</v>
      </c>
      <c r="P313" s="40">
        <v>1</v>
      </c>
    </row>
    <row r="314" spans="1:16" ht="30" x14ac:dyDescent="0.25">
      <c r="A314" s="34">
        <v>308</v>
      </c>
      <c r="B314" s="41" t="s">
        <v>408</v>
      </c>
      <c r="C314" s="38">
        <v>3</v>
      </c>
      <c r="D314" s="38" t="s">
        <v>9</v>
      </c>
      <c r="E314" s="38" t="s">
        <v>82</v>
      </c>
      <c r="F314" s="38"/>
      <c r="G314" s="38"/>
      <c r="H314" s="42">
        <v>45565</v>
      </c>
      <c r="I314" s="43">
        <v>5040</v>
      </c>
      <c r="J314" s="38">
        <v>10</v>
      </c>
      <c r="K314" s="39">
        <v>0</v>
      </c>
      <c r="L314" s="54">
        <f>M314*P314</f>
        <v>504</v>
      </c>
      <c r="M314" s="39">
        <f>(I314-K314)/J314</f>
        <v>504</v>
      </c>
      <c r="N314" s="39">
        <f>I314-L314</f>
        <v>4536</v>
      </c>
      <c r="O314" s="38" t="s">
        <v>409</v>
      </c>
      <c r="P314" s="40">
        <v>1</v>
      </c>
    </row>
    <row r="315" spans="1:16" x14ac:dyDescent="0.25">
      <c r="A315" s="34">
        <v>309</v>
      </c>
      <c r="B315" s="38" t="s">
        <v>406</v>
      </c>
      <c r="C315" s="38">
        <v>1</v>
      </c>
      <c r="D315" s="38" t="s">
        <v>9</v>
      </c>
      <c r="E315" s="38" t="s">
        <v>57</v>
      </c>
      <c r="F315" s="38"/>
      <c r="G315" s="38"/>
      <c r="H315" s="42">
        <v>45566</v>
      </c>
      <c r="I315" s="43">
        <v>41800</v>
      </c>
      <c r="J315" s="38">
        <v>10</v>
      </c>
      <c r="K315" s="39">
        <v>4180</v>
      </c>
      <c r="L315" s="54">
        <f>M315*P315</f>
        <v>3762</v>
      </c>
      <c r="M315" s="39">
        <f>(I315-K315)/J315</f>
        <v>3762</v>
      </c>
      <c r="N315" s="39">
        <f>I315-L315</f>
        <v>38038</v>
      </c>
      <c r="O315" s="38"/>
      <c r="P315" s="40">
        <v>1</v>
      </c>
    </row>
    <row r="316" spans="1:16" ht="30" x14ac:dyDescent="0.25">
      <c r="A316" s="34">
        <v>310</v>
      </c>
      <c r="B316" s="41" t="s">
        <v>325</v>
      </c>
      <c r="C316" s="38">
        <v>1</v>
      </c>
      <c r="D316" s="38" t="s">
        <v>11</v>
      </c>
      <c r="E316" s="38" t="s">
        <v>201</v>
      </c>
      <c r="F316" s="38"/>
      <c r="G316" s="38"/>
      <c r="H316" s="42">
        <v>45568</v>
      </c>
      <c r="I316" s="43">
        <v>1165.45</v>
      </c>
      <c r="J316" s="38">
        <v>3</v>
      </c>
      <c r="K316" s="39">
        <v>0</v>
      </c>
      <c r="L316" s="54">
        <f>M316*P316</f>
        <v>388.48333333333335</v>
      </c>
      <c r="M316" s="39">
        <f>(I316-K316)/J316</f>
        <v>388.48333333333335</v>
      </c>
      <c r="N316" s="39">
        <f>I316-L316</f>
        <v>776.9666666666667</v>
      </c>
      <c r="O316" s="38"/>
      <c r="P316" s="40">
        <v>1</v>
      </c>
    </row>
    <row r="317" spans="1:16" x14ac:dyDescent="0.25">
      <c r="A317" s="34">
        <v>311</v>
      </c>
      <c r="B317" s="41" t="s">
        <v>358</v>
      </c>
      <c r="C317" s="38">
        <v>4</v>
      </c>
      <c r="D317" s="38" t="s">
        <v>11</v>
      </c>
      <c r="E317" s="38" t="s">
        <v>125</v>
      </c>
      <c r="F317" s="38"/>
      <c r="G317" s="38"/>
      <c r="H317" s="42">
        <v>45568</v>
      </c>
      <c r="I317" s="43">
        <v>4435.2</v>
      </c>
      <c r="J317" s="38">
        <v>5</v>
      </c>
      <c r="K317" s="39">
        <v>0</v>
      </c>
      <c r="L317" s="54">
        <f>M317*P317</f>
        <v>887.04</v>
      </c>
      <c r="M317" s="39">
        <f>(I317-K317)/J317</f>
        <v>887.04</v>
      </c>
      <c r="N317" s="39">
        <f>I317-L317</f>
        <v>3548.16</v>
      </c>
      <c r="O317" s="38" t="s">
        <v>359</v>
      </c>
      <c r="P317" s="40">
        <v>1</v>
      </c>
    </row>
    <row r="318" spans="1:16" x14ac:dyDescent="0.25">
      <c r="A318" s="34">
        <v>312</v>
      </c>
      <c r="B318" s="41" t="s">
        <v>412</v>
      </c>
      <c r="C318" s="38">
        <v>1</v>
      </c>
      <c r="D318" s="38" t="s">
        <v>9</v>
      </c>
      <c r="E318" s="38" t="s">
        <v>413</v>
      </c>
      <c r="F318" s="38"/>
      <c r="G318" s="38"/>
      <c r="H318" s="42">
        <v>45573</v>
      </c>
      <c r="I318" s="43">
        <v>211384</v>
      </c>
      <c r="J318" s="38">
        <v>5</v>
      </c>
      <c r="K318" s="39">
        <v>21138.400000000001</v>
      </c>
      <c r="L318" s="54">
        <f>M318*P318</f>
        <v>38049.120000000003</v>
      </c>
      <c r="M318" s="39">
        <f>(I318-K318)/J318</f>
        <v>38049.120000000003</v>
      </c>
      <c r="N318" s="39">
        <f>I318-L318</f>
        <v>173334.88</v>
      </c>
      <c r="O318" s="92"/>
      <c r="P318" s="40">
        <v>1</v>
      </c>
    </row>
    <row r="319" spans="1:16" x14ac:dyDescent="0.25">
      <c r="A319" s="34">
        <v>313</v>
      </c>
      <c r="B319" s="41" t="s">
        <v>410</v>
      </c>
      <c r="C319" s="38">
        <v>1</v>
      </c>
      <c r="D319" s="38" t="s">
        <v>8</v>
      </c>
      <c r="E319" s="38" t="s">
        <v>92</v>
      </c>
      <c r="F319" s="38"/>
      <c r="G319" s="38"/>
      <c r="H319" s="42">
        <v>45575</v>
      </c>
      <c r="I319" s="43">
        <v>1090</v>
      </c>
      <c r="J319" s="38">
        <v>3</v>
      </c>
      <c r="K319" s="39">
        <v>0</v>
      </c>
      <c r="L319" s="54">
        <f>M319*P319</f>
        <v>363.33333333333331</v>
      </c>
      <c r="M319" s="39">
        <f>(I319-K319)/J319</f>
        <v>363.33333333333331</v>
      </c>
      <c r="N319" s="39">
        <f>I319-L319</f>
        <v>726.66666666666674</v>
      </c>
      <c r="O319" s="97" t="s">
        <v>411</v>
      </c>
      <c r="P319" s="40">
        <v>1</v>
      </c>
    </row>
    <row r="320" spans="1:16" x14ac:dyDescent="0.25">
      <c r="A320" s="34">
        <v>314</v>
      </c>
      <c r="B320" s="41" t="s">
        <v>414</v>
      </c>
      <c r="C320" s="38">
        <v>2</v>
      </c>
      <c r="D320" s="38" t="s">
        <v>11</v>
      </c>
      <c r="E320" s="38" t="s">
        <v>82</v>
      </c>
      <c r="F320" s="38"/>
      <c r="G320" s="38"/>
      <c r="H320" s="42">
        <v>45581</v>
      </c>
      <c r="I320" s="43">
        <v>30860</v>
      </c>
      <c r="J320" s="38">
        <v>10</v>
      </c>
      <c r="K320" s="39">
        <v>0</v>
      </c>
      <c r="L320" s="54">
        <f>M320*P320</f>
        <v>3086</v>
      </c>
      <c r="M320" s="39">
        <f>(I320-K320)/J320</f>
        <v>3086</v>
      </c>
      <c r="N320" s="39">
        <f>I320-L320</f>
        <v>27774</v>
      </c>
      <c r="O320" s="38" t="s">
        <v>415</v>
      </c>
      <c r="P320" s="40">
        <v>1</v>
      </c>
    </row>
    <row r="321" spans="1:16" x14ac:dyDescent="0.25">
      <c r="A321" s="34">
        <v>315</v>
      </c>
      <c r="B321" s="41" t="s">
        <v>431</v>
      </c>
      <c r="C321" s="38">
        <v>1</v>
      </c>
      <c r="D321" s="38" t="s">
        <v>11</v>
      </c>
      <c r="E321" s="38" t="s">
        <v>318</v>
      </c>
      <c r="F321" s="38"/>
      <c r="G321" s="38"/>
      <c r="H321" s="42">
        <v>45586</v>
      </c>
      <c r="I321" s="43">
        <v>3990</v>
      </c>
      <c r="J321" s="38">
        <v>5</v>
      </c>
      <c r="K321" s="39">
        <v>0</v>
      </c>
      <c r="L321" s="54">
        <f>M321*P321</f>
        <v>798</v>
      </c>
      <c r="M321" s="39">
        <f>(I321-K321)/J321</f>
        <v>798</v>
      </c>
      <c r="N321" s="39">
        <f>I321-L321</f>
        <v>3192</v>
      </c>
      <c r="O321" s="38"/>
      <c r="P321" s="40">
        <v>1</v>
      </c>
    </row>
    <row r="322" spans="1:16" x14ac:dyDescent="0.25">
      <c r="A322" s="34">
        <v>316</v>
      </c>
      <c r="B322" s="41" t="s">
        <v>419</v>
      </c>
      <c r="C322" s="38">
        <v>1</v>
      </c>
      <c r="D322" s="38" t="s">
        <v>9</v>
      </c>
      <c r="E322" s="38" t="s">
        <v>399</v>
      </c>
      <c r="F322" s="38"/>
      <c r="G322" s="38"/>
      <c r="H322" s="42">
        <v>45587</v>
      </c>
      <c r="I322" s="43">
        <v>15000</v>
      </c>
      <c r="J322" s="38">
        <v>10</v>
      </c>
      <c r="K322" s="39">
        <v>1500</v>
      </c>
      <c r="L322" s="54">
        <f>M322*P322</f>
        <v>1350</v>
      </c>
      <c r="M322" s="39">
        <f>(I322-K322)/J322</f>
        <v>1350</v>
      </c>
      <c r="N322" s="39">
        <f>I322-L322</f>
        <v>13650</v>
      </c>
      <c r="O322" s="38"/>
      <c r="P322" s="40">
        <v>1</v>
      </c>
    </row>
    <row r="323" spans="1:16" x14ac:dyDescent="0.25">
      <c r="A323" s="34">
        <v>317</v>
      </c>
      <c r="B323" s="41" t="s">
        <v>416</v>
      </c>
      <c r="C323" s="38">
        <v>1</v>
      </c>
      <c r="D323" s="38" t="s">
        <v>11</v>
      </c>
      <c r="E323" s="38" t="s">
        <v>125</v>
      </c>
      <c r="F323" s="38"/>
      <c r="G323" s="38"/>
      <c r="H323" s="42">
        <v>45589</v>
      </c>
      <c r="I323" s="43">
        <v>9400</v>
      </c>
      <c r="J323" s="38">
        <v>5</v>
      </c>
      <c r="K323" s="39">
        <v>0</v>
      </c>
      <c r="L323" s="54">
        <f>M323*P323</f>
        <v>1880</v>
      </c>
      <c r="M323" s="39">
        <f>(I323-K323)/J323</f>
        <v>1880</v>
      </c>
      <c r="N323" s="39">
        <f>I323-L323</f>
        <v>7520</v>
      </c>
      <c r="O323" s="38"/>
      <c r="P323" s="40">
        <v>1</v>
      </c>
    </row>
    <row r="324" spans="1:16" x14ac:dyDescent="0.25">
      <c r="A324" s="34">
        <v>318</v>
      </c>
      <c r="B324" s="41" t="s">
        <v>417</v>
      </c>
      <c r="C324" s="38">
        <v>1</v>
      </c>
      <c r="D324" s="38" t="s">
        <v>11</v>
      </c>
      <c r="E324" s="38" t="s">
        <v>125</v>
      </c>
      <c r="F324" s="38"/>
      <c r="G324" s="38"/>
      <c r="H324" s="42">
        <v>45589</v>
      </c>
      <c r="I324" s="43">
        <v>20540</v>
      </c>
      <c r="J324" s="38">
        <v>5</v>
      </c>
      <c r="K324" s="39">
        <v>0</v>
      </c>
      <c r="L324" s="54">
        <f>M324*P324</f>
        <v>4108</v>
      </c>
      <c r="M324" s="39">
        <f>(I324-K324)/J324</f>
        <v>4108</v>
      </c>
      <c r="N324" s="39">
        <f>I324-L324</f>
        <v>16432</v>
      </c>
      <c r="O324" s="38"/>
      <c r="P324" s="40">
        <v>1</v>
      </c>
    </row>
    <row r="325" spans="1:16" ht="30" x14ac:dyDescent="0.25">
      <c r="A325" s="34">
        <v>319</v>
      </c>
      <c r="B325" s="41" t="s">
        <v>418</v>
      </c>
      <c r="C325" s="38">
        <v>1</v>
      </c>
      <c r="D325" s="38" t="s">
        <v>11</v>
      </c>
      <c r="E325" s="38" t="s">
        <v>125</v>
      </c>
      <c r="F325" s="38"/>
      <c r="G325" s="38"/>
      <c r="H325" s="42">
        <v>45589</v>
      </c>
      <c r="I325" s="43">
        <v>9265</v>
      </c>
      <c r="J325" s="38">
        <v>5</v>
      </c>
      <c r="K325" s="39">
        <v>0</v>
      </c>
      <c r="L325" s="54">
        <f>M325*P325</f>
        <v>1853</v>
      </c>
      <c r="M325" s="39">
        <f>(I325-K325)/J325</f>
        <v>1853</v>
      </c>
      <c r="N325" s="39">
        <f>I325-L325</f>
        <v>7412</v>
      </c>
      <c r="O325" s="38"/>
      <c r="P325" s="40">
        <v>1</v>
      </c>
    </row>
    <row r="326" spans="1:16" x14ac:dyDescent="0.25">
      <c r="A326" s="34">
        <v>320</v>
      </c>
      <c r="B326" s="38" t="s">
        <v>444</v>
      </c>
      <c r="C326" s="38">
        <v>6</v>
      </c>
      <c r="D326" s="38" t="s">
        <v>11</v>
      </c>
      <c r="E326" s="38" t="s">
        <v>31</v>
      </c>
      <c r="F326" s="38"/>
      <c r="G326" s="38" t="s">
        <v>447</v>
      </c>
      <c r="H326" s="42">
        <v>45594</v>
      </c>
      <c r="I326" s="43">
        <v>8134.8</v>
      </c>
      <c r="J326" s="38">
        <v>5</v>
      </c>
      <c r="K326" s="39">
        <v>0</v>
      </c>
      <c r="L326" s="54">
        <f>M326*P326</f>
        <v>1626.96</v>
      </c>
      <c r="M326" s="39">
        <f>(I326-K326)/J326</f>
        <v>1626.96</v>
      </c>
      <c r="N326" s="39">
        <f>I326-L326</f>
        <v>6507.84</v>
      </c>
      <c r="O326" s="38" t="s">
        <v>446</v>
      </c>
      <c r="P326" s="40">
        <v>1</v>
      </c>
    </row>
    <row r="327" spans="1:16" x14ac:dyDescent="0.25">
      <c r="A327" s="34">
        <v>321</v>
      </c>
      <c r="B327" s="41" t="s">
        <v>420</v>
      </c>
      <c r="C327" s="38">
        <v>1</v>
      </c>
      <c r="D327" s="38" t="s">
        <v>11</v>
      </c>
      <c r="E327" s="38" t="s">
        <v>197</v>
      </c>
      <c r="F327" s="38"/>
      <c r="G327" s="38"/>
      <c r="H327" s="42">
        <v>45595</v>
      </c>
      <c r="I327" s="43">
        <v>107540</v>
      </c>
      <c r="J327" s="38">
        <v>5</v>
      </c>
      <c r="K327" s="39">
        <v>0</v>
      </c>
      <c r="L327" s="54">
        <f>M327*P327</f>
        <v>21508</v>
      </c>
      <c r="M327" s="39">
        <f>(I327-K327)/J327</f>
        <v>21508</v>
      </c>
      <c r="N327" s="39">
        <f>I327-L327</f>
        <v>86032</v>
      </c>
      <c r="O327" s="38"/>
      <c r="P327" s="40">
        <v>1</v>
      </c>
    </row>
    <row r="328" spans="1:16" x14ac:dyDescent="0.25">
      <c r="A328" s="34">
        <v>322</v>
      </c>
      <c r="B328" s="41" t="s">
        <v>421</v>
      </c>
      <c r="C328" s="38">
        <v>1</v>
      </c>
      <c r="D328" s="38" t="s">
        <v>11</v>
      </c>
      <c r="E328" s="38" t="s">
        <v>197</v>
      </c>
      <c r="F328" s="38"/>
      <c r="G328" s="38"/>
      <c r="H328" s="42">
        <v>45595</v>
      </c>
      <c r="I328" s="43">
        <v>55094</v>
      </c>
      <c r="J328" s="38">
        <v>5</v>
      </c>
      <c r="K328" s="39">
        <v>0</v>
      </c>
      <c r="L328" s="54">
        <f>M328*P328</f>
        <v>11018.8</v>
      </c>
      <c r="M328" s="39">
        <f>(I328-K328)/J328</f>
        <v>11018.8</v>
      </c>
      <c r="N328" s="39">
        <f>I328-L328</f>
        <v>44075.199999999997</v>
      </c>
      <c r="O328" s="38" t="s">
        <v>422</v>
      </c>
      <c r="P328" s="40">
        <v>1</v>
      </c>
    </row>
    <row r="329" spans="1:16" ht="30" x14ac:dyDescent="0.25">
      <c r="A329" s="34">
        <v>323</v>
      </c>
      <c r="B329" s="41" t="s">
        <v>424</v>
      </c>
      <c r="C329" s="38">
        <v>1</v>
      </c>
      <c r="D329" s="38" t="s">
        <v>11</v>
      </c>
      <c r="E329" s="38" t="s">
        <v>125</v>
      </c>
      <c r="F329" s="38"/>
      <c r="G329" s="38"/>
      <c r="H329" s="42">
        <v>45596</v>
      </c>
      <c r="I329" s="43">
        <v>2430</v>
      </c>
      <c r="J329" s="38">
        <v>5</v>
      </c>
      <c r="K329" s="39">
        <v>0</v>
      </c>
      <c r="L329" s="54">
        <f>M329*P329</f>
        <v>486</v>
      </c>
      <c r="M329" s="39">
        <f>(I329-K329)/J329</f>
        <v>486</v>
      </c>
      <c r="N329" s="39">
        <f>I329-L329</f>
        <v>1944</v>
      </c>
      <c r="O329" s="38"/>
      <c r="P329" s="40">
        <v>1</v>
      </c>
    </row>
    <row r="330" spans="1:16" x14ac:dyDescent="0.25">
      <c r="A330" s="34">
        <v>324</v>
      </c>
      <c r="B330" s="41" t="s">
        <v>425</v>
      </c>
      <c r="C330" s="38">
        <v>1</v>
      </c>
      <c r="D330" s="38" t="s">
        <v>11</v>
      </c>
      <c r="E330" s="38" t="s">
        <v>125</v>
      </c>
      <c r="F330" s="38"/>
      <c r="G330" s="38"/>
      <c r="H330" s="42">
        <v>45596</v>
      </c>
      <c r="I330" s="43">
        <v>1245</v>
      </c>
      <c r="J330" s="38">
        <v>5</v>
      </c>
      <c r="K330" s="39">
        <v>0</v>
      </c>
      <c r="L330" s="54">
        <f>M330*P330</f>
        <v>249</v>
      </c>
      <c r="M330" s="39">
        <f>(I330-K330)/J330</f>
        <v>249</v>
      </c>
      <c r="N330" s="39">
        <f>I330-L330</f>
        <v>996</v>
      </c>
      <c r="O330" s="38"/>
      <c r="P330" s="40">
        <v>1</v>
      </c>
    </row>
    <row r="331" spans="1:16" x14ac:dyDescent="0.25">
      <c r="A331" s="34">
        <v>325</v>
      </c>
      <c r="B331" s="41" t="s">
        <v>426</v>
      </c>
      <c r="C331" s="38">
        <v>1</v>
      </c>
      <c r="D331" s="38" t="s">
        <v>11</v>
      </c>
      <c r="E331" s="38" t="s">
        <v>125</v>
      </c>
      <c r="F331" s="38"/>
      <c r="G331" s="38"/>
      <c r="H331" s="42">
        <v>45596</v>
      </c>
      <c r="I331" s="43">
        <v>1355</v>
      </c>
      <c r="J331" s="38">
        <v>5</v>
      </c>
      <c r="K331" s="39">
        <v>0</v>
      </c>
      <c r="L331" s="54">
        <f>M331*P331</f>
        <v>271</v>
      </c>
      <c r="M331" s="39">
        <f>(I331-K331)/J331</f>
        <v>271</v>
      </c>
      <c r="N331" s="39">
        <f>I331-L331</f>
        <v>1084</v>
      </c>
      <c r="O331" s="38"/>
      <c r="P331" s="40">
        <v>1</v>
      </c>
    </row>
    <row r="332" spans="1:16" x14ac:dyDescent="0.25">
      <c r="A332" s="34">
        <v>326</v>
      </c>
      <c r="B332" s="41" t="s">
        <v>427</v>
      </c>
      <c r="C332" s="38">
        <v>1</v>
      </c>
      <c r="D332" s="38" t="s">
        <v>11</v>
      </c>
      <c r="E332" s="38" t="s">
        <v>125</v>
      </c>
      <c r="F332" s="38"/>
      <c r="G332" s="38"/>
      <c r="H332" s="42">
        <v>45596</v>
      </c>
      <c r="I332" s="43">
        <v>1995</v>
      </c>
      <c r="J332" s="38">
        <v>5</v>
      </c>
      <c r="K332" s="39">
        <v>0</v>
      </c>
      <c r="L332" s="54">
        <f>M332*P332</f>
        <v>399</v>
      </c>
      <c r="M332" s="39">
        <f>(I332-K332)/J332</f>
        <v>399</v>
      </c>
      <c r="N332" s="39">
        <f>I332-L332</f>
        <v>1596</v>
      </c>
      <c r="O332" s="38"/>
      <c r="P332" s="40">
        <v>1</v>
      </c>
    </row>
    <row r="333" spans="1:16" x14ac:dyDescent="0.25">
      <c r="A333" s="34">
        <v>327</v>
      </c>
      <c r="B333" s="41" t="s">
        <v>423</v>
      </c>
      <c r="C333" s="38">
        <v>8</v>
      </c>
      <c r="D333" s="38" t="s">
        <v>11</v>
      </c>
      <c r="E333" s="38" t="s">
        <v>135</v>
      </c>
      <c r="F333" s="38"/>
      <c r="G333" s="38"/>
      <c r="H333" s="42">
        <v>45597</v>
      </c>
      <c r="I333" s="43">
        <v>4359.2</v>
      </c>
      <c r="J333" s="38">
        <v>5</v>
      </c>
      <c r="K333" s="39">
        <v>0</v>
      </c>
      <c r="L333" s="54">
        <f>M333*P333</f>
        <v>871.83999999999992</v>
      </c>
      <c r="M333" s="39">
        <f>(I333-K333)/J333</f>
        <v>871.83999999999992</v>
      </c>
      <c r="N333" s="39">
        <f>I333-L333</f>
        <v>3487.3599999999997</v>
      </c>
      <c r="O333" s="38"/>
      <c r="P333" s="40">
        <v>1</v>
      </c>
    </row>
    <row r="334" spans="1:16" x14ac:dyDescent="0.25">
      <c r="A334" s="34">
        <v>328</v>
      </c>
      <c r="B334" s="41" t="s">
        <v>358</v>
      </c>
      <c r="C334" s="38">
        <v>2</v>
      </c>
      <c r="D334" s="38" t="s">
        <v>11</v>
      </c>
      <c r="E334" s="38" t="s">
        <v>135</v>
      </c>
      <c r="F334" s="38"/>
      <c r="G334" s="38"/>
      <c r="H334" s="42">
        <v>45597</v>
      </c>
      <c r="I334" s="43">
        <v>2217.6</v>
      </c>
      <c r="J334" s="38">
        <v>5</v>
      </c>
      <c r="K334" s="39">
        <v>0</v>
      </c>
      <c r="L334" s="54">
        <f>M334*P334</f>
        <v>443.52</v>
      </c>
      <c r="M334" s="39">
        <f>(I334-K334)/J334</f>
        <v>443.52</v>
      </c>
      <c r="N334" s="39">
        <f>I334-L334</f>
        <v>1774.08</v>
      </c>
      <c r="O334" s="38"/>
      <c r="P334" s="40">
        <v>1</v>
      </c>
    </row>
    <row r="335" spans="1:16" x14ac:dyDescent="0.25">
      <c r="A335" s="34">
        <v>329</v>
      </c>
      <c r="B335" s="41" t="s">
        <v>140</v>
      </c>
      <c r="C335" s="38">
        <v>1</v>
      </c>
      <c r="D335" s="38" t="s">
        <v>11</v>
      </c>
      <c r="E335" s="38" t="s">
        <v>135</v>
      </c>
      <c r="F335" s="38"/>
      <c r="G335" s="38"/>
      <c r="H335" s="42">
        <v>45597</v>
      </c>
      <c r="I335" s="43">
        <v>1050</v>
      </c>
      <c r="J335" s="38">
        <v>5</v>
      </c>
      <c r="K335" s="39">
        <v>0</v>
      </c>
      <c r="L335" s="54">
        <f>M335*P335</f>
        <v>210</v>
      </c>
      <c r="M335" s="39">
        <f>(I335-K335)/J335</f>
        <v>210</v>
      </c>
      <c r="N335" s="39">
        <f>I335-L335</f>
        <v>840</v>
      </c>
      <c r="O335" s="38"/>
      <c r="P335" s="40">
        <v>1</v>
      </c>
    </row>
    <row r="336" spans="1:16" x14ac:dyDescent="0.25">
      <c r="A336" s="34">
        <v>330</v>
      </c>
      <c r="B336" s="41" t="s">
        <v>428</v>
      </c>
      <c r="C336" s="38">
        <v>1</v>
      </c>
      <c r="D336" s="38" t="s">
        <v>11</v>
      </c>
      <c r="E336" s="38" t="s">
        <v>262</v>
      </c>
      <c r="F336" s="38"/>
      <c r="G336" s="38" t="s">
        <v>429</v>
      </c>
      <c r="H336" s="42">
        <v>45602</v>
      </c>
      <c r="I336" s="43">
        <v>2500</v>
      </c>
      <c r="J336" s="38">
        <v>5</v>
      </c>
      <c r="K336" s="39">
        <v>0</v>
      </c>
      <c r="L336" s="54">
        <f>M336*P336</f>
        <v>500</v>
      </c>
      <c r="M336" s="39">
        <f>(I336-K336)/J336</f>
        <v>500</v>
      </c>
      <c r="N336" s="39">
        <f>I336-L336</f>
        <v>2000</v>
      </c>
      <c r="O336" s="38"/>
      <c r="P336" s="40">
        <v>1</v>
      </c>
    </row>
    <row r="337" spans="1:16" x14ac:dyDescent="0.25">
      <c r="A337" s="34">
        <v>331</v>
      </c>
      <c r="B337" s="41" t="s">
        <v>428</v>
      </c>
      <c r="C337" s="38">
        <v>1</v>
      </c>
      <c r="D337" s="38" t="s">
        <v>11</v>
      </c>
      <c r="E337" s="38" t="s">
        <v>262</v>
      </c>
      <c r="F337" s="38"/>
      <c r="G337" s="38" t="s">
        <v>430</v>
      </c>
      <c r="H337" s="42">
        <v>45602</v>
      </c>
      <c r="I337" s="43">
        <v>2500</v>
      </c>
      <c r="J337" s="38">
        <v>5</v>
      </c>
      <c r="K337" s="39">
        <v>0</v>
      </c>
      <c r="L337" s="54">
        <f>M337*P337</f>
        <v>500</v>
      </c>
      <c r="M337" s="39">
        <f>(I337-K337)/J337</f>
        <v>500</v>
      </c>
      <c r="N337" s="39">
        <f>I337-L337</f>
        <v>2000</v>
      </c>
      <c r="O337" s="38"/>
      <c r="P337" s="40">
        <v>1</v>
      </c>
    </row>
    <row r="338" spans="1:16" x14ac:dyDescent="0.25">
      <c r="A338" s="34">
        <v>332</v>
      </c>
      <c r="B338" s="38" t="s">
        <v>444</v>
      </c>
      <c r="C338" s="38">
        <v>4</v>
      </c>
      <c r="D338" s="38" t="s">
        <v>11</v>
      </c>
      <c r="E338" s="38" t="s">
        <v>31</v>
      </c>
      <c r="F338" s="38"/>
      <c r="G338" s="38" t="s">
        <v>445</v>
      </c>
      <c r="H338" s="42">
        <v>45605</v>
      </c>
      <c r="I338" s="43">
        <v>5423.2</v>
      </c>
      <c r="J338" s="38">
        <v>5</v>
      </c>
      <c r="K338" s="39">
        <v>0</v>
      </c>
      <c r="L338" s="54">
        <f>M338*P338</f>
        <v>1084.6399999999999</v>
      </c>
      <c r="M338" s="39">
        <f>(I338-K338)/J338</f>
        <v>1084.6399999999999</v>
      </c>
      <c r="N338" s="39">
        <f>I338-L338</f>
        <v>4338.5599999999995</v>
      </c>
      <c r="O338" s="38" t="s">
        <v>446</v>
      </c>
      <c r="P338" s="40">
        <v>1</v>
      </c>
    </row>
    <row r="339" spans="1:16" x14ac:dyDescent="0.25">
      <c r="A339" s="34">
        <v>333</v>
      </c>
      <c r="B339" s="41" t="s">
        <v>432</v>
      </c>
      <c r="C339" s="38">
        <v>1</v>
      </c>
      <c r="D339" s="38" t="s">
        <v>11</v>
      </c>
      <c r="E339" s="38" t="s">
        <v>108</v>
      </c>
      <c r="F339" s="38"/>
      <c r="G339" s="38"/>
      <c r="H339" s="42">
        <v>45608</v>
      </c>
      <c r="I339" s="43">
        <v>1149</v>
      </c>
      <c r="J339" s="38">
        <v>5</v>
      </c>
      <c r="K339" s="39">
        <v>0</v>
      </c>
      <c r="L339" s="54">
        <f>M339*P339</f>
        <v>229.8</v>
      </c>
      <c r="M339" s="39">
        <f>(I339-K339)/J339</f>
        <v>229.8</v>
      </c>
      <c r="N339" s="39">
        <f>I339-L339</f>
        <v>919.2</v>
      </c>
      <c r="O339" s="38"/>
      <c r="P339" s="40">
        <v>1</v>
      </c>
    </row>
    <row r="340" spans="1:16" ht="45" x14ac:dyDescent="0.25">
      <c r="A340" s="34">
        <v>334</v>
      </c>
      <c r="B340" s="41" t="s">
        <v>433</v>
      </c>
      <c r="C340" s="38">
        <v>1</v>
      </c>
      <c r="D340" s="38" t="s">
        <v>8</v>
      </c>
      <c r="E340" s="38" t="s">
        <v>92</v>
      </c>
      <c r="F340" s="38"/>
      <c r="G340" s="38"/>
      <c r="H340" s="42">
        <v>45609</v>
      </c>
      <c r="I340" s="43">
        <v>2740.91</v>
      </c>
      <c r="J340" s="38">
        <v>3</v>
      </c>
      <c r="K340" s="39">
        <v>0</v>
      </c>
      <c r="L340" s="54">
        <f>M340*P340</f>
        <v>913.63666666666666</v>
      </c>
      <c r="M340" s="39">
        <f>(I340-K340)/J340</f>
        <v>913.63666666666666</v>
      </c>
      <c r="N340" s="39">
        <f>I340-L340</f>
        <v>1827.2733333333331</v>
      </c>
      <c r="O340" s="38" t="s">
        <v>434</v>
      </c>
      <c r="P340" s="40">
        <v>1</v>
      </c>
    </row>
    <row r="341" spans="1:16" x14ac:dyDescent="0.25">
      <c r="A341" s="34">
        <v>335</v>
      </c>
      <c r="B341" s="41" t="s">
        <v>435</v>
      </c>
      <c r="C341" s="38">
        <v>2</v>
      </c>
      <c r="D341" s="38" t="s">
        <v>8</v>
      </c>
      <c r="E341" s="38" t="s">
        <v>92</v>
      </c>
      <c r="F341" s="38"/>
      <c r="G341" s="38"/>
      <c r="H341" s="42">
        <v>45609</v>
      </c>
      <c r="I341" s="43">
        <v>2649.09</v>
      </c>
      <c r="J341" s="38">
        <v>3</v>
      </c>
      <c r="K341" s="39">
        <v>0</v>
      </c>
      <c r="L341" s="54">
        <f>M341*P341</f>
        <v>883.03000000000009</v>
      </c>
      <c r="M341" s="39">
        <f>(I341-K341)/J341</f>
        <v>883.03000000000009</v>
      </c>
      <c r="N341" s="39">
        <f>I341-L341</f>
        <v>1766.06</v>
      </c>
      <c r="O341" s="38" t="s">
        <v>436</v>
      </c>
      <c r="P341" s="40">
        <v>1</v>
      </c>
    </row>
    <row r="342" spans="1:16" ht="45" x14ac:dyDescent="0.25">
      <c r="A342" s="34">
        <v>336</v>
      </c>
      <c r="B342" s="41" t="s">
        <v>437</v>
      </c>
      <c r="C342" s="38">
        <v>1</v>
      </c>
      <c r="D342" s="38" t="s">
        <v>11</v>
      </c>
      <c r="E342" s="38" t="s">
        <v>125</v>
      </c>
      <c r="F342" s="38"/>
      <c r="G342" s="38"/>
      <c r="H342" s="42">
        <v>45611</v>
      </c>
      <c r="I342" s="43">
        <v>22985</v>
      </c>
      <c r="J342" s="38">
        <v>5</v>
      </c>
      <c r="K342" s="39">
        <v>0</v>
      </c>
      <c r="L342" s="54">
        <f>M342*P342</f>
        <v>4597</v>
      </c>
      <c r="M342" s="39">
        <f>(I342-K342)/J342</f>
        <v>4597</v>
      </c>
      <c r="N342" s="39">
        <f>I342-L342</f>
        <v>18388</v>
      </c>
      <c r="O342" s="38"/>
      <c r="P342" s="40">
        <v>1</v>
      </c>
    </row>
    <row r="343" spans="1:16" x14ac:dyDescent="0.25">
      <c r="A343" s="34">
        <v>337</v>
      </c>
      <c r="B343" s="41" t="s">
        <v>396</v>
      </c>
      <c r="C343" s="38">
        <v>1</v>
      </c>
      <c r="D343" s="38" t="s">
        <v>9</v>
      </c>
      <c r="E343" s="38" t="s">
        <v>397</v>
      </c>
      <c r="F343" s="38"/>
      <c r="G343" s="38"/>
      <c r="H343" s="42">
        <v>45611</v>
      </c>
      <c r="I343" s="43">
        <v>45089.73</v>
      </c>
      <c r="J343" s="38">
        <v>10</v>
      </c>
      <c r="K343" s="39">
        <v>0</v>
      </c>
      <c r="L343" s="54">
        <f>M343*P343</f>
        <v>4508.973</v>
      </c>
      <c r="M343" s="39">
        <f>(I343-K343)/J343</f>
        <v>4508.973</v>
      </c>
      <c r="N343" s="39">
        <f>I343-L343</f>
        <v>40580.757000000005</v>
      </c>
      <c r="O343" s="38"/>
      <c r="P343" s="40">
        <v>1</v>
      </c>
    </row>
    <row r="344" spans="1:16" x14ac:dyDescent="0.25">
      <c r="A344" s="34">
        <v>338</v>
      </c>
      <c r="B344" s="38" t="s">
        <v>48</v>
      </c>
      <c r="C344" s="38">
        <v>30</v>
      </c>
      <c r="D344" s="38" t="s">
        <v>11</v>
      </c>
      <c r="E344" s="38" t="s">
        <v>35</v>
      </c>
      <c r="F344" s="38"/>
      <c r="G344" s="38"/>
      <c r="H344" s="42">
        <v>45621</v>
      </c>
      <c r="I344" s="43">
        <v>27830.7</v>
      </c>
      <c r="J344" s="38">
        <v>4</v>
      </c>
      <c r="K344" s="39">
        <v>2783.07</v>
      </c>
      <c r="L344" s="54">
        <f>M344*P344</f>
        <v>6261.9075000000003</v>
      </c>
      <c r="M344" s="39">
        <f>(I344-K344)/J344</f>
        <v>6261.9075000000003</v>
      </c>
      <c r="N344" s="39">
        <f>I344-L344</f>
        <v>21568.7925</v>
      </c>
      <c r="O344" s="38" t="s">
        <v>247</v>
      </c>
      <c r="P344" s="40">
        <v>1</v>
      </c>
    </row>
    <row r="345" spans="1:16" x14ac:dyDescent="0.25">
      <c r="A345" s="34">
        <v>339</v>
      </c>
      <c r="B345" s="38" t="s">
        <v>50</v>
      </c>
      <c r="C345" s="38">
        <v>15</v>
      </c>
      <c r="D345" s="38" t="s">
        <v>11</v>
      </c>
      <c r="E345" s="38" t="s">
        <v>35</v>
      </c>
      <c r="F345" s="38"/>
      <c r="G345" s="38"/>
      <c r="H345" s="42">
        <v>45621</v>
      </c>
      <c r="I345" s="43">
        <v>15950.55</v>
      </c>
      <c r="J345" s="38">
        <v>4</v>
      </c>
      <c r="K345" s="39">
        <v>1590.05</v>
      </c>
      <c r="L345" s="54">
        <f>M345*P345</f>
        <v>3590.125</v>
      </c>
      <c r="M345" s="39">
        <f>(I345-K345)/J345</f>
        <v>3590.125</v>
      </c>
      <c r="N345" s="39">
        <f>I345-L345</f>
        <v>12360.424999999999</v>
      </c>
      <c r="O345" s="72" t="s">
        <v>441</v>
      </c>
      <c r="P345" s="40">
        <v>1</v>
      </c>
    </row>
    <row r="346" spans="1:16" x14ac:dyDescent="0.25">
      <c r="A346" s="34">
        <v>340</v>
      </c>
      <c r="B346" s="38" t="s">
        <v>52</v>
      </c>
      <c r="C346" s="38">
        <v>10</v>
      </c>
      <c r="D346" s="38" t="s">
        <v>11</v>
      </c>
      <c r="E346" s="38" t="s">
        <v>35</v>
      </c>
      <c r="F346" s="38"/>
      <c r="G346" s="38"/>
      <c r="H346" s="42">
        <v>45621</v>
      </c>
      <c r="I346" s="43">
        <v>15398.6</v>
      </c>
      <c r="J346" s="38">
        <v>4</v>
      </c>
      <c r="K346" s="39">
        <v>1539.86</v>
      </c>
      <c r="L346" s="54">
        <f>M346*P346</f>
        <v>3464.6849999999999</v>
      </c>
      <c r="M346" s="39">
        <f>(I346-K346)/J346</f>
        <v>3464.6849999999999</v>
      </c>
      <c r="N346" s="39">
        <f>I346-L346</f>
        <v>11933.915000000001</v>
      </c>
      <c r="O346" s="38" t="s">
        <v>249</v>
      </c>
      <c r="P346" s="40">
        <v>1</v>
      </c>
    </row>
    <row r="347" spans="1:16" x14ac:dyDescent="0.25">
      <c r="A347" s="34">
        <v>341</v>
      </c>
      <c r="B347" s="38" t="s">
        <v>36</v>
      </c>
      <c r="C347" s="38">
        <v>200</v>
      </c>
      <c r="D347" s="38" t="s">
        <v>11</v>
      </c>
      <c r="E347" s="38" t="s">
        <v>35</v>
      </c>
      <c r="F347" s="38"/>
      <c r="G347" s="38"/>
      <c r="H347" s="42">
        <v>45621</v>
      </c>
      <c r="I347" s="43">
        <v>93000</v>
      </c>
      <c r="J347" s="38">
        <v>7</v>
      </c>
      <c r="K347" s="39">
        <v>9300</v>
      </c>
      <c r="L347" s="54">
        <f>M347*P347</f>
        <v>11957.142857142857</v>
      </c>
      <c r="M347" s="39">
        <f>(I347-K347)/J347</f>
        <v>11957.142857142857</v>
      </c>
      <c r="N347" s="39">
        <f>I347-L347</f>
        <v>81042.857142857145</v>
      </c>
      <c r="O347" s="38" t="s">
        <v>202</v>
      </c>
      <c r="P347" s="40">
        <v>1</v>
      </c>
    </row>
    <row r="348" spans="1:16" x14ac:dyDescent="0.25">
      <c r="A348" s="34">
        <v>342</v>
      </c>
      <c r="B348" s="38" t="s">
        <v>443</v>
      </c>
      <c r="C348" s="38">
        <v>1</v>
      </c>
      <c r="D348" s="38" t="s">
        <v>9</v>
      </c>
      <c r="E348" s="38" t="s">
        <v>312</v>
      </c>
      <c r="F348" s="38"/>
      <c r="G348" s="38"/>
      <c r="H348" s="42">
        <v>45623</v>
      </c>
      <c r="I348" s="95">
        <v>25990</v>
      </c>
      <c r="J348" s="38">
        <v>10</v>
      </c>
      <c r="K348" s="39">
        <v>2599</v>
      </c>
      <c r="L348" s="54">
        <f>M348*P348</f>
        <v>2339.1</v>
      </c>
      <c r="M348" s="39">
        <f>(I348-K348)/J348</f>
        <v>2339.1</v>
      </c>
      <c r="N348" s="39">
        <f>I348-L348</f>
        <v>23650.9</v>
      </c>
      <c r="O348" s="38"/>
      <c r="P348" s="40">
        <v>1</v>
      </c>
    </row>
    <row r="349" spans="1:16" x14ac:dyDescent="0.25">
      <c r="A349" s="34">
        <v>343</v>
      </c>
      <c r="B349" s="38" t="s">
        <v>439</v>
      </c>
      <c r="C349" s="38">
        <v>20</v>
      </c>
      <c r="D349" s="38" t="s">
        <v>11</v>
      </c>
      <c r="E349" s="38" t="s">
        <v>35</v>
      </c>
      <c r="F349" s="38"/>
      <c r="G349" s="38"/>
      <c r="H349" s="42">
        <v>45624</v>
      </c>
      <c r="I349" s="43">
        <v>14263.8</v>
      </c>
      <c r="J349" s="38">
        <v>4</v>
      </c>
      <c r="K349" s="39">
        <v>1426.38</v>
      </c>
      <c r="L349" s="54">
        <f>M349*P349</f>
        <v>3209.3549999999996</v>
      </c>
      <c r="M349" s="39">
        <f>(I349-K349)/J349</f>
        <v>3209.3549999999996</v>
      </c>
      <c r="N349" s="39">
        <f>I349-L349</f>
        <v>11054.445</v>
      </c>
      <c r="O349" s="38" t="s">
        <v>440</v>
      </c>
      <c r="P349" s="40">
        <v>1</v>
      </c>
    </row>
    <row r="350" spans="1:16" ht="30" x14ac:dyDescent="0.25">
      <c r="A350" s="34">
        <v>344</v>
      </c>
      <c r="B350" s="41" t="s">
        <v>324</v>
      </c>
      <c r="C350" s="38">
        <v>1</v>
      </c>
      <c r="D350" s="38" t="s">
        <v>11</v>
      </c>
      <c r="E350" s="38" t="s">
        <v>201</v>
      </c>
      <c r="F350" s="38"/>
      <c r="G350" s="38"/>
      <c r="H350" s="42">
        <v>45628</v>
      </c>
      <c r="I350" s="43">
        <v>781.82</v>
      </c>
      <c r="J350" s="38">
        <v>3</v>
      </c>
      <c r="K350" s="39">
        <v>0</v>
      </c>
      <c r="L350" s="54">
        <f>M350*P350</f>
        <v>260.60666666666668</v>
      </c>
      <c r="M350" s="39">
        <f>(I350-K350)/J350</f>
        <v>260.60666666666668</v>
      </c>
      <c r="N350" s="39">
        <f>I350-L350</f>
        <v>521.21333333333337</v>
      </c>
      <c r="O350" s="38"/>
      <c r="P350" s="40">
        <v>1</v>
      </c>
    </row>
    <row r="351" spans="1:16" x14ac:dyDescent="0.25">
      <c r="A351" s="34">
        <v>345</v>
      </c>
      <c r="B351" s="38" t="s">
        <v>438</v>
      </c>
      <c r="C351" s="38">
        <v>1</v>
      </c>
      <c r="D351" s="38" t="s">
        <v>11</v>
      </c>
      <c r="E351" s="38" t="s">
        <v>201</v>
      </c>
      <c r="F351" s="38"/>
      <c r="G351" s="38"/>
      <c r="H351" s="42">
        <v>45629</v>
      </c>
      <c r="I351" s="43">
        <v>1908.18</v>
      </c>
      <c r="J351" s="38">
        <v>3</v>
      </c>
      <c r="K351" s="39">
        <v>0</v>
      </c>
      <c r="L351" s="54">
        <f>M351*P351</f>
        <v>636.06000000000006</v>
      </c>
      <c r="M351" s="39">
        <f>(I351-K351)/J351</f>
        <v>636.06000000000006</v>
      </c>
      <c r="N351" s="39">
        <f>I351-L351</f>
        <v>1272.1199999999999</v>
      </c>
      <c r="O351" s="38"/>
      <c r="P351" s="40">
        <v>1</v>
      </c>
    </row>
    <row r="352" spans="1:16" x14ac:dyDescent="0.25">
      <c r="A352" s="34">
        <v>346</v>
      </c>
      <c r="B352" s="38" t="s">
        <v>442</v>
      </c>
      <c r="C352" s="38">
        <v>1</v>
      </c>
      <c r="D352" s="38" t="s">
        <v>9</v>
      </c>
      <c r="E352" s="38" t="s">
        <v>82</v>
      </c>
      <c r="F352" s="38"/>
      <c r="G352" s="38"/>
      <c r="H352" s="42">
        <v>45629</v>
      </c>
      <c r="I352" s="43">
        <v>4429</v>
      </c>
      <c r="J352" s="92">
        <v>5</v>
      </c>
      <c r="K352" s="39">
        <v>0</v>
      </c>
      <c r="L352" s="54">
        <f>M352*P352</f>
        <v>885.8</v>
      </c>
      <c r="M352" s="39">
        <f>(I352-K352)/J352</f>
        <v>885.8</v>
      </c>
      <c r="N352" s="39">
        <f>I352-L352</f>
        <v>3543.2</v>
      </c>
      <c r="O352" s="38"/>
      <c r="P352" s="40">
        <v>1</v>
      </c>
    </row>
    <row r="353" spans="1:16" x14ac:dyDescent="0.25">
      <c r="A353" s="34">
        <v>347</v>
      </c>
      <c r="B353" s="38" t="s">
        <v>448</v>
      </c>
      <c r="C353" s="38">
        <v>1</v>
      </c>
      <c r="D353" s="38" t="s">
        <v>449</v>
      </c>
      <c r="E353" s="38" t="s">
        <v>189</v>
      </c>
      <c r="F353" s="38"/>
      <c r="G353" s="38" t="s">
        <v>450</v>
      </c>
      <c r="H353" s="42">
        <v>45635</v>
      </c>
      <c r="I353" s="43">
        <v>1297</v>
      </c>
      <c r="J353" s="38">
        <v>3</v>
      </c>
      <c r="K353" s="39">
        <v>0</v>
      </c>
      <c r="L353" s="54">
        <f>M353*P353</f>
        <v>432.33333333333331</v>
      </c>
      <c r="M353" s="39">
        <f>(I353-K353)/J353</f>
        <v>432.33333333333331</v>
      </c>
      <c r="N353" s="39">
        <f>I353-L353</f>
        <v>864.66666666666674</v>
      </c>
      <c r="O353" s="43"/>
      <c r="P353" s="40">
        <v>1</v>
      </c>
    </row>
    <row r="354" spans="1:16" x14ac:dyDescent="0.25">
      <c r="A354" s="34">
        <v>348</v>
      </c>
      <c r="B354" s="38" t="s">
        <v>451</v>
      </c>
      <c r="C354" s="38">
        <v>2</v>
      </c>
      <c r="D354" s="38" t="s">
        <v>11</v>
      </c>
      <c r="E354" s="38" t="s">
        <v>238</v>
      </c>
      <c r="F354" s="38"/>
      <c r="G354" s="38"/>
      <c r="H354" s="42">
        <v>45637</v>
      </c>
      <c r="I354" s="43">
        <v>5399.38</v>
      </c>
      <c r="J354" s="38">
        <v>5</v>
      </c>
      <c r="K354" s="39">
        <v>0</v>
      </c>
      <c r="L354" s="54">
        <f>M354*P354</f>
        <v>1079.876</v>
      </c>
      <c r="M354" s="39">
        <f>(I354-K354)/J354</f>
        <v>1079.876</v>
      </c>
      <c r="N354" s="39">
        <f>I354-L354</f>
        <v>4319.5039999999999</v>
      </c>
      <c r="O354" s="38" t="s">
        <v>452</v>
      </c>
      <c r="P354" s="40">
        <v>1</v>
      </c>
    </row>
    <row r="355" spans="1:16" x14ac:dyDescent="0.25">
      <c r="A355" s="34">
        <v>349</v>
      </c>
      <c r="B355" s="38" t="s">
        <v>457</v>
      </c>
      <c r="C355" s="38">
        <v>1</v>
      </c>
      <c r="D355" s="38" t="s">
        <v>11</v>
      </c>
      <c r="E355" s="38" t="s">
        <v>458</v>
      </c>
      <c r="F355" s="38"/>
      <c r="G355" s="38"/>
      <c r="H355" s="42">
        <v>45637</v>
      </c>
      <c r="I355" s="43">
        <v>8810.94</v>
      </c>
      <c r="J355" s="38">
        <v>5</v>
      </c>
      <c r="K355" s="39">
        <v>0</v>
      </c>
      <c r="L355" s="54">
        <f>M355*P355</f>
        <v>1762.1880000000001</v>
      </c>
      <c r="M355" s="39">
        <f>(I355-K355)/J355</f>
        <v>1762.1880000000001</v>
      </c>
      <c r="N355" s="39">
        <f>I355-L355</f>
        <v>7048.7520000000004</v>
      </c>
      <c r="O355" s="38"/>
      <c r="P355" s="40">
        <v>1</v>
      </c>
    </row>
    <row r="356" spans="1:16" x14ac:dyDescent="0.25">
      <c r="A356" s="34">
        <v>350</v>
      </c>
      <c r="B356" s="38" t="s">
        <v>455</v>
      </c>
      <c r="C356" s="38">
        <v>2</v>
      </c>
      <c r="D356" s="38" t="s">
        <v>11</v>
      </c>
      <c r="E356" s="38" t="s">
        <v>125</v>
      </c>
      <c r="F356" s="38"/>
      <c r="G356" s="38"/>
      <c r="H356" s="42">
        <v>45643</v>
      </c>
      <c r="I356" s="43">
        <v>2124</v>
      </c>
      <c r="J356" s="38">
        <v>5</v>
      </c>
      <c r="K356" s="39">
        <v>0</v>
      </c>
      <c r="L356" s="54">
        <f>M356*P356</f>
        <v>424.8</v>
      </c>
      <c r="M356" s="39">
        <f>(I356-K356)/J356</f>
        <v>424.8</v>
      </c>
      <c r="N356" s="39">
        <f>I356-L356</f>
        <v>1699.2</v>
      </c>
      <c r="O356" s="38" t="s">
        <v>456</v>
      </c>
      <c r="P356" s="40">
        <v>1</v>
      </c>
    </row>
    <row r="357" spans="1:16" x14ac:dyDescent="0.25">
      <c r="A357" s="34">
        <v>351</v>
      </c>
      <c r="B357" s="38" t="s">
        <v>453</v>
      </c>
      <c r="C357" s="38"/>
      <c r="D357" s="38" t="s">
        <v>11</v>
      </c>
      <c r="E357" s="38" t="s">
        <v>101</v>
      </c>
      <c r="F357" s="38"/>
      <c r="G357" s="38"/>
      <c r="H357" s="42">
        <v>45645</v>
      </c>
      <c r="I357" s="43">
        <v>7067.4</v>
      </c>
      <c r="J357" s="38">
        <v>10</v>
      </c>
      <c r="K357" s="39">
        <v>706.74</v>
      </c>
      <c r="L357" s="54">
        <f>M357*P357</f>
        <v>636.06600000000003</v>
      </c>
      <c r="M357" s="39">
        <f>(I357-K357)/J357</f>
        <v>636.06600000000003</v>
      </c>
      <c r="N357" s="39">
        <f>I357-L357</f>
        <v>6431.3339999999998</v>
      </c>
      <c r="O357" s="38" t="s">
        <v>454</v>
      </c>
      <c r="P357" s="40">
        <v>1</v>
      </c>
    </row>
    <row r="358" spans="1:16" ht="30" x14ac:dyDescent="0.25">
      <c r="A358" s="34">
        <v>352</v>
      </c>
      <c r="B358" s="41" t="s">
        <v>294</v>
      </c>
      <c r="C358" s="38">
        <v>1</v>
      </c>
      <c r="D358" s="38" t="s">
        <v>11</v>
      </c>
      <c r="E358" s="38" t="s">
        <v>125</v>
      </c>
      <c r="F358" s="38"/>
      <c r="G358" s="38"/>
      <c r="H358" s="42">
        <v>45645</v>
      </c>
      <c r="I358" s="43">
        <v>5395</v>
      </c>
      <c r="J358" s="38">
        <v>5</v>
      </c>
      <c r="K358" s="39">
        <v>0</v>
      </c>
      <c r="L358" s="54">
        <f>M358*P358</f>
        <v>1079</v>
      </c>
      <c r="M358" s="39">
        <f>(I358-K358)/J358</f>
        <v>1079</v>
      </c>
      <c r="N358" s="39">
        <f>I358-L358</f>
        <v>4316</v>
      </c>
      <c r="O358" s="38"/>
      <c r="P358" s="40">
        <v>1</v>
      </c>
    </row>
    <row r="359" spans="1:16" x14ac:dyDescent="0.25">
      <c r="A359" s="34">
        <v>353</v>
      </c>
      <c r="B359" s="38" t="s">
        <v>475</v>
      </c>
      <c r="C359" s="38">
        <v>4</v>
      </c>
      <c r="D359" s="38" t="s">
        <v>11</v>
      </c>
      <c r="E359" s="38" t="s">
        <v>101</v>
      </c>
      <c r="F359" s="38"/>
      <c r="G359" s="38"/>
      <c r="H359" s="42">
        <v>45645</v>
      </c>
      <c r="I359" s="43">
        <v>2624</v>
      </c>
      <c r="J359" s="38">
        <v>5</v>
      </c>
      <c r="K359" s="39">
        <v>262.39999999999998</v>
      </c>
      <c r="L359" s="54">
        <f>M359*P359</f>
        <v>472.32</v>
      </c>
      <c r="M359" s="39">
        <f>(I359-K359)/J359</f>
        <v>472.32</v>
      </c>
      <c r="N359" s="39">
        <f>I359-L359</f>
        <v>2151.6799999999998</v>
      </c>
      <c r="O359" s="38" t="s">
        <v>476</v>
      </c>
      <c r="P359" s="40">
        <v>1</v>
      </c>
    </row>
    <row r="360" spans="1:16" x14ac:dyDescent="0.25">
      <c r="A360" s="34">
        <v>354</v>
      </c>
      <c r="B360" s="38" t="s">
        <v>477</v>
      </c>
      <c r="C360" s="38">
        <v>4</v>
      </c>
      <c r="D360" s="38" t="s">
        <v>11</v>
      </c>
      <c r="E360" s="38" t="s">
        <v>101</v>
      </c>
      <c r="F360" s="38"/>
      <c r="G360" s="38"/>
      <c r="H360" s="42">
        <v>45645</v>
      </c>
      <c r="I360" s="43">
        <v>2362.16</v>
      </c>
      <c r="J360" s="38">
        <v>5</v>
      </c>
      <c r="K360" s="39">
        <v>236.21</v>
      </c>
      <c r="L360" s="54">
        <f>M360*P360</f>
        <v>425.18999999999994</v>
      </c>
      <c r="M360" s="39">
        <f>(I360-K360)/J360</f>
        <v>425.18999999999994</v>
      </c>
      <c r="N360" s="39">
        <f>I360-L360</f>
        <v>1936.9699999999998</v>
      </c>
      <c r="O360" s="38" t="s">
        <v>478</v>
      </c>
      <c r="P360" s="40">
        <v>1</v>
      </c>
    </row>
    <row r="361" spans="1:16" x14ac:dyDescent="0.25">
      <c r="A361" s="34">
        <v>355</v>
      </c>
      <c r="B361" s="41" t="s">
        <v>516</v>
      </c>
      <c r="C361" s="38">
        <v>1</v>
      </c>
      <c r="D361" s="41" t="s">
        <v>9</v>
      </c>
      <c r="E361" s="38" t="s">
        <v>517</v>
      </c>
      <c r="F361" s="38"/>
      <c r="G361" s="38" t="s">
        <v>518</v>
      </c>
      <c r="H361" s="42">
        <v>45664</v>
      </c>
      <c r="I361" s="43">
        <v>70000</v>
      </c>
      <c r="J361" s="38">
        <v>10</v>
      </c>
      <c r="K361" s="39">
        <v>7000</v>
      </c>
      <c r="L361" s="54">
        <f>M361*P361</f>
        <v>6300</v>
      </c>
      <c r="M361" s="39">
        <f>(I361-K361)/J361</f>
        <v>6300</v>
      </c>
      <c r="N361" s="39">
        <f>I361-L361</f>
        <v>63700</v>
      </c>
      <c r="O361" s="38"/>
      <c r="P361" s="40">
        <v>1</v>
      </c>
    </row>
    <row r="362" spans="1:16" x14ac:dyDescent="0.25">
      <c r="A362" s="34">
        <v>356</v>
      </c>
      <c r="B362" s="41" t="s">
        <v>519</v>
      </c>
      <c r="C362" s="38">
        <v>1</v>
      </c>
      <c r="D362" s="41" t="s">
        <v>9</v>
      </c>
      <c r="E362" s="38" t="s">
        <v>517</v>
      </c>
      <c r="F362" s="38"/>
      <c r="G362" s="38" t="s">
        <v>520</v>
      </c>
      <c r="H362" s="42">
        <v>45664</v>
      </c>
      <c r="I362" s="43">
        <v>85000</v>
      </c>
      <c r="J362" s="38">
        <v>10</v>
      </c>
      <c r="K362" s="39">
        <v>8500</v>
      </c>
      <c r="L362" s="54">
        <f>M362*P362</f>
        <v>7650</v>
      </c>
      <c r="M362" s="39">
        <f>(I362-K362)/J362</f>
        <v>7650</v>
      </c>
      <c r="N362" s="39">
        <f>I362-L362</f>
        <v>77350</v>
      </c>
      <c r="O362" s="38"/>
      <c r="P362" s="40">
        <v>1</v>
      </c>
    </row>
    <row r="363" spans="1:16" ht="30" x14ac:dyDescent="0.25">
      <c r="A363" s="34">
        <v>357</v>
      </c>
      <c r="B363" s="41" t="s">
        <v>459</v>
      </c>
      <c r="C363" s="38">
        <v>1</v>
      </c>
      <c r="D363" s="38" t="s">
        <v>11</v>
      </c>
      <c r="E363" s="38" t="s">
        <v>125</v>
      </c>
      <c r="F363" s="38"/>
      <c r="G363" s="38"/>
      <c r="H363" s="42">
        <v>45672</v>
      </c>
      <c r="I363" s="43">
        <v>4703</v>
      </c>
      <c r="J363" s="38">
        <v>5</v>
      </c>
      <c r="K363" s="39">
        <v>0</v>
      </c>
      <c r="L363" s="54">
        <f>M363*P363</f>
        <v>940.6</v>
      </c>
      <c r="M363" s="39">
        <f>(I363-K363)/J363</f>
        <v>940.6</v>
      </c>
      <c r="N363" s="39">
        <f>I363-L363</f>
        <v>3762.4</v>
      </c>
      <c r="O363" s="38"/>
      <c r="P363" s="40">
        <v>1</v>
      </c>
    </row>
    <row r="364" spans="1:16" x14ac:dyDescent="0.25">
      <c r="A364" s="34">
        <v>358</v>
      </c>
      <c r="B364" s="38" t="s">
        <v>435</v>
      </c>
      <c r="C364" s="38">
        <v>2</v>
      </c>
      <c r="D364" s="38" t="s">
        <v>8</v>
      </c>
      <c r="E364" s="38" t="s">
        <v>92</v>
      </c>
      <c r="F364" s="38"/>
      <c r="G364" s="38"/>
      <c r="H364" s="42">
        <v>45678</v>
      </c>
      <c r="I364" s="43">
        <v>2725.45</v>
      </c>
      <c r="J364" s="38">
        <v>3</v>
      </c>
      <c r="K364" s="39">
        <v>0</v>
      </c>
      <c r="L364" s="54">
        <f>M364*P364</f>
        <v>908.48333333333323</v>
      </c>
      <c r="M364" s="39">
        <f>(I364-K364)/J364</f>
        <v>908.48333333333323</v>
      </c>
      <c r="N364" s="39">
        <f>I364-L364</f>
        <v>1816.9666666666667</v>
      </c>
      <c r="O364" s="38"/>
      <c r="P364" s="40">
        <v>1</v>
      </c>
    </row>
    <row r="365" spans="1:16" x14ac:dyDescent="0.25">
      <c r="A365" s="34">
        <v>359</v>
      </c>
      <c r="B365" s="38" t="s">
        <v>460</v>
      </c>
      <c r="C365" s="38">
        <v>1</v>
      </c>
      <c r="D365" s="38" t="s">
        <v>461</v>
      </c>
      <c r="E365" s="38" t="s">
        <v>189</v>
      </c>
      <c r="F365" s="38"/>
      <c r="G365" s="38"/>
      <c r="H365" s="42">
        <v>45679</v>
      </c>
      <c r="I365" s="43">
        <v>1887</v>
      </c>
      <c r="J365" s="38">
        <v>3</v>
      </c>
      <c r="K365" s="39">
        <v>0</v>
      </c>
      <c r="L365" s="54">
        <f>M365*P365</f>
        <v>629</v>
      </c>
      <c r="M365" s="39">
        <f>(I365-K365)/J365</f>
        <v>629</v>
      </c>
      <c r="N365" s="39">
        <f>I365-L365</f>
        <v>1258</v>
      </c>
      <c r="O365" s="38" t="s">
        <v>225</v>
      </c>
      <c r="P365" s="40">
        <v>1</v>
      </c>
    </row>
    <row r="366" spans="1:16" x14ac:dyDescent="0.25">
      <c r="A366" s="34">
        <v>360</v>
      </c>
      <c r="B366" s="38" t="s">
        <v>462</v>
      </c>
      <c r="C366" s="38">
        <v>2</v>
      </c>
      <c r="D366" s="38" t="s">
        <v>11</v>
      </c>
      <c r="E366" s="38" t="s">
        <v>238</v>
      </c>
      <c r="F366" s="38"/>
      <c r="G366" s="38"/>
      <c r="H366" s="42">
        <v>45681</v>
      </c>
      <c r="I366" s="43">
        <v>1673.38</v>
      </c>
      <c r="J366" s="38">
        <v>3</v>
      </c>
      <c r="K366" s="39">
        <v>0</v>
      </c>
      <c r="L366" s="54">
        <f>M366*P366</f>
        <v>557.79333333333341</v>
      </c>
      <c r="M366" s="39">
        <f>(I366-K366)/J366</f>
        <v>557.79333333333341</v>
      </c>
      <c r="N366" s="39">
        <f>I366-L366</f>
        <v>1115.5866666666666</v>
      </c>
      <c r="O366" s="38" t="s">
        <v>463</v>
      </c>
      <c r="P366" s="40">
        <v>1</v>
      </c>
    </row>
    <row r="367" spans="1:16" x14ac:dyDescent="0.25">
      <c r="A367" s="34">
        <v>361</v>
      </c>
      <c r="B367" s="38" t="s">
        <v>467</v>
      </c>
      <c r="C367" s="38">
        <v>1</v>
      </c>
      <c r="D367" s="38" t="s">
        <v>11</v>
      </c>
      <c r="E367" s="38" t="s">
        <v>468</v>
      </c>
      <c r="F367" s="38"/>
      <c r="G367" s="38"/>
      <c r="H367" s="42">
        <v>45684</v>
      </c>
      <c r="I367" s="43">
        <v>5466</v>
      </c>
      <c r="J367" s="38">
        <v>3</v>
      </c>
      <c r="K367" s="39">
        <v>0</v>
      </c>
      <c r="L367" s="54">
        <f>M367*P367</f>
        <v>1822</v>
      </c>
      <c r="M367" s="39">
        <f>(I367-K367)/J367</f>
        <v>1822</v>
      </c>
      <c r="N367" s="39">
        <f>I367-L367</f>
        <v>3644</v>
      </c>
      <c r="O367" s="38"/>
      <c r="P367" s="40">
        <v>1</v>
      </c>
    </row>
    <row r="368" spans="1:16" x14ac:dyDescent="0.25">
      <c r="A368" s="34">
        <v>362</v>
      </c>
      <c r="B368" s="38" t="s">
        <v>464</v>
      </c>
      <c r="C368" s="38">
        <v>4</v>
      </c>
      <c r="D368" s="38" t="s">
        <v>12</v>
      </c>
      <c r="E368" s="38" t="s">
        <v>465</v>
      </c>
      <c r="F368" s="38"/>
      <c r="G368" s="38"/>
      <c r="H368" s="42">
        <v>45687</v>
      </c>
      <c r="I368" s="43">
        <v>3990</v>
      </c>
      <c r="J368" s="38">
        <v>3</v>
      </c>
      <c r="K368" s="39">
        <v>0</v>
      </c>
      <c r="L368" s="54">
        <f>M368*P368</f>
        <v>1330</v>
      </c>
      <c r="M368" s="39">
        <f>(I368-K368)/J368</f>
        <v>1330</v>
      </c>
      <c r="N368" s="39">
        <f>I368-L368</f>
        <v>2660</v>
      </c>
      <c r="O368" s="38" t="s">
        <v>466</v>
      </c>
      <c r="P368" s="40">
        <v>1</v>
      </c>
    </row>
    <row r="369" spans="1:18" x14ac:dyDescent="0.25">
      <c r="A369" s="34">
        <v>363</v>
      </c>
      <c r="B369" s="38" t="s">
        <v>472</v>
      </c>
      <c r="C369" s="38">
        <v>1</v>
      </c>
      <c r="D369" s="38" t="s">
        <v>8</v>
      </c>
      <c r="E369" s="38" t="s">
        <v>189</v>
      </c>
      <c r="F369" s="38"/>
      <c r="G369" s="38"/>
      <c r="H369" s="42">
        <v>45688</v>
      </c>
      <c r="I369" s="43">
        <v>1047</v>
      </c>
      <c r="J369" s="38">
        <v>3</v>
      </c>
      <c r="K369" s="39">
        <v>0</v>
      </c>
      <c r="L369" s="54">
        <f>M369*P369</f>
        <v>349</v>
      </c>
      <c r="M369" s="39">
        <f>(I369-K369)/J369</f>
        <v>349</v>
      </c>
      <c r="N369" s="39">
        <f>I369-L369</f>
        <v>698</v>
      </c>
      <c r="O369" s="38"/>
      <c r="P369" s="40">
        <v>1</v>
      </c>
    </row>
    <row r="370" spans="1:18" x14ac:dyDescent="0.25">
      <c r="A370" s="34">
        <v>364</v>
      </c>
      <c r="B370" s="38" t="s">
        <v>473</v>
      </c>
      <c r="C370" s="38">
        <v>120</v>
      </c>
      <c r="D370" s="38" t="s">
        <v>12</v>
      </c>
      <c r="E370" s="38" t="s">
        <v>272</v>
      </c>
      <c r="F370" s="38"/>
      <c r="G370" s="38"/>
      <c r="H370" s="42">
        <v>45688</v>
      </c>
      <c r="I370" s="43">
        <v>12480</v>
      </c>
      <c r="J370" s="38">
        <v>5</v>
      </c>
      <c r="K370" s="39">
        <v>1248</v>
      </c>
      <c r="L370" s="54">
        <f>M370*P370</f>
        <v>2246.4</v>
      </c>
      <c r="M370" s="39">
        <f>(I370-K370)/J370</f>
        <v>2246.4</v>
      </c>
      <c r="N370" s="39">
        <f>I40-L370</f>
        <v>15834.800000000001</v>
      </c>
      <c r="O370" s="38" t="s">
        <v>474</v>
      </c>
      <c r="P370" s="40">
        <v>1</v>
      </c>
    </row>
    <row r="371" spans="1:18" x14ac:dyDescent="0.25">
      <c r="A371" s="34">
        <v>365</v>
      </c>
      <c r="B371" s="38" t="s">
        <v>479</v>
      </c>
      <c r="C371" s="38">
        <v>2</v>
      </c>
      <c r="D371" s="38" t="s">
        <v>10</v>
      </c>
      <c r="E371" s="38" t="s">
        <v>480</v>
      </c>
      <c r="F371" s="38"/>
      <c r="G371" s="38"/>
      <c r="H371" s="42">
        <v>45688</v>
      </c>
      <c r="I371" s="43">
        <v>280</v>
      </c>
      <c r="J371" s="38">
        <v>10</v>
      </c>
      <c r="K371" s="39">
        <v>28</v>
      </c>
      <c r="L371" s="54">
        <f>M371*P371</f>
        <v>25.2</v>
      </c>
      <c r="M371" s="39">
        <f>(I371-K371)/J371</f>
        <v>25.2</v>
      </c>
      <c r="N371" s="39">
        <f>I371-L371</f>
        <v>254.8</v>
      </c>
      <c r="O371" s="38" t="s">
        <v>481</v>
      </c>
      <c r="P371" s="40">
        <v>1</v>
      </c>
    </row>
    <row r="372" spans="1:18" x14ac:dyDescent="0.25">
      <c r="A372" s="34">
        <v>366</v>
      </c>
      <c r="B372" s="38" t="s">
        <v>482</v>
      </c>
      <c r="C372" s="38">
        <v>2</v>
      </c>
      <c r="D372" s="38" t="s">
        <v>11</v>
      </c>
      <c r="E372" s="38" t="s">
        <v>125</v>
      </c>
      <c r="F372" s="38"/>
      <c r="G372" s="38"/>
      <c r="H372" s="42">
        <v>45688</v>
      </c>
      <c r="I372" s="43">
        <v>3790</v>
      </c>
      <c r="J372" s="38">
        <v>5</v>
      </c>
      <c r="K372" s="39">
        <v>0</v>
      </c>
      <c r="L372" s="54">
        <f>M372*P372</f>
        <v>758</v>
      </c>
      <c r="M372" s="39">
        <f>(I372-K372)/J372</f>
        <v>758</v>
      </c>
      <c r="N372" s="39">
        <f>I372-L372</f>
        <v>3032</v>
      </c>
      <c r="O372" s="38" t="s">
        <v>483</v>
      </c>
      <c r="P372" s="40">
        <v>1</v>
      </c>
    </row>
    <row r="373" spans="1:18" x14ac:dyDescent="0.25">
      <c r="A373" s="34">
        <v>367</v>
      </c>
      <c r="B373" s="38" t="s">
        <v>484</v>
      </c>
      <c r="C373" s="38">
        <v>4</v>
      </c>
      <c r="D373" s="38" t="s">
        <v>11</v>
      </c>
      <c r="E373" s="38" t="s">
        <v>125</v>
      </c>
      <c r="F373" s="38"/>
      <c r="G373" s="38"/>
      <c r="H373" s="42">
        <v>45688</v>
      </c>
      <c r="I373" s="43">
        <v>1700</v>
      </c>
      <c r="J373" s="38">
        <v>5</v>
      </c>
      <c r="K373" s="39">
        <v>0</v>
      </c>
      <c r="L373" s="54">
        <f>M373*P373</f>
        <v>340</v>
      </c>
      <c r="M373" s="39">
        <f>(I373-K373)/J373</f>
        <v>340</v>
      </c>
      <c r="N373" s="39">
        <f>I373-L373</f>
        <v>1360</v>
      </c>
      <c r="O373" s="38" t="s">
        <v>485</v>
      </c>
      <c r="P373" s="40">
        <v>1</v>
      </c>
    </row>
    <row r="374" spans="1:18" x14ac:dyDescent="0.25">
      <c r="A374" s="81">
        <v>368</v>
      </c>
      <c r="B374" s="82" t="s">
        <v>471</v>
      </c>
      <c r="C374" s="82">
        <v>6</v>
      </c>
      <c r="D374" s="82" t="s">
        <v>12</v>
      </c>
      <c r="E374" s="82" t="s">
        <v>470</v>
      </c>
      <c r="F374" s="82"/>
      <c r="G374" s="82"/>
      <c r="H374" s="83">
        <v>45691</v>
      </c>
      <c r="I374" s="84">
        <v>2295.02</v>
      </c>
      <c r="J374" s="82">
        <v>10</v>
      </c>
      <c r="K374" s="85">
        <v>229.5</v>
      </c>
      <c r="L374" s="86">
        <f>M374*P374</f>
        <v>206.55199999999999</v>
      </c>
      <c r="M374" s="85">
        <f>(I374-K374)/J374</f>
        <v>206.55199999999999</v>
      </c>
      <c r="N374" s="85">
        <f>I374-L374</f>
        <v>2088.4679999999998</v>
      </c>
      <c r="O374" s="82"/>
      <c r="P374" s="87">
        <v>1</v>
      </c>
    </row>
    <row r="375" spans="1:18" s="38" customFormat="1" x14ac:dyDescent="0.25">
      <c r="A375" s="38">
        <v>369</v>
      </c>
      <c r="B375" s="38" t="s">
        <v>469</v>
      </c>
      <c r="D375" s="38" t="s">
        <v>12</v>
      </c>
      <c r="E375" s="38" t="s">
        <v>470</v>
      </c>
      <c r="H375" s="42">
        <v>45692</v>
      </c>
      <c r="I375" s="43">
        <v>3286.13</v>
      </c>
      <c r="J375" s="38">
        <v>10</v>
      </c>
      <c r="K375" s="54">
        <v>328.61</v>
      </c>
      <c r="L375" s="54">
        <f>M375*P375</f>
        <v>295.75200000000001</v>
      </c>
      <c r="M375" s="85">
        <f>(I375-K375)/J375</f>
        <v>295.75200000000001</v>
      </c>
      <c r="N375" s="54">
        <f>I375-L375</f>
        <v>2990.3780000000002</v>
      </c>
      <c r="P375" s="44">
        <v>1</v>
      </c>
      <c r="Q375" s="31"/>
      <c r="R375" s="31"/>
    </row>
    <row r="376" spans="1:18" s="38" customFormat="1" ht="30" x14ac:dyDescent="0.25">
      <c r="A376" s="38">
        <v>370</v>
      </c>
      <c r="B376" s="38" t="s">
        <v>486</v>
      </c>
      <c r="C376" s="38">
        <v>306</v>
      </c>
      <c r="D376" s="41" t="s">
        <v>10</v>
      </c>
      <c r="E376" s="38" t="s">
        <v>35</v>
      </c>
      <c r="H376" s="42">
        <v>45693</v>
      </c>
      <c r="I376" s="43">
        <v>8874</v>
      </c>
      <c r="J376" s="38">
        <v>10</v>
      </c>
      <c r="K376" s="54">
        <v>0</v>
      </c>
      <c r="L376" s="54">
        <f>M376*P376</f>
        <v>887.4</v>
      </c>
      <c r="M376" s="54">
        <f>(I376-K376)/J376</f>
        <v>887.4</v>
      </c>
      <c r="N376" s="54">
        <f>I376-L376</f>
        <v>7986.6</v>
      </c>
      <c r="O376" s="38" t="s">
        <v>487</v>
      </c>
      <c r="P376" s="44">
        <v>1</v>
      </c>
      <c r="Q376" s="31"/>
      <c r="R376" s="31"/>
    </row>
    <row r="377" spans="1:18" x14ac:dyDescent="0.25">
      <c r="A377" s="38">
        <v>371</v>
      </c>
      <c r="B377" s="38" t="s">
        <v>488</v>
      </c>
      <c r="C377" s="38">
        <v>1</v>
      </c>
      <c r="D377" s="41" t="s">
        <v>8</v>
      </c>
      <c r="E377" s="38" t="s">
        <v>92</v>
      </c>
      <c r="F377" s="38"/>
      <c r="G377" s="38"/>
      <c r="H377" s="42">
        <v>45698</v>
      </c>
      <c r="I377" s="43">
        <v>2390</v>
      </c>
      <c r="J377" s="38">
        <v>3</v>
      </c>
      <c r="K377" s="54">
        <v>0</v>
      </c>
      <c r="L377" s="54">
        <f>M377*P377</f>
        <v>796.66666666666663</v>
      </c>
      <c r="M377" s="54">
        <f>(I377-K377)/J377</f>
        <v>796.66666666666663</v>
      </c>
      <c r="N377" s="54">
        <f>I377-L377</f>
        <v>1593.3333333333335</v>
      </c>
      <c r="O377" s="38" t="s">
        <v>489</v>
      </c>
      <c r="P377" s="44">
        <v>1</v>
      </c>
    </row>
    <row r="378" spans="1:18" x14ac:dyDescent="0.25">
      <c r="A378" s="38">
        <v>372</v>
      </c>
      <c r="B378" s="38" t="s">
        <v>490</v>
      </c>
      <c r="C378" s="38">
        <v>1</v>
      </c>
      <c r="D378" s="41" t="s">
        <v>461</v>
      </c>
      <c r="E378" s="38" t="s">
        <v>189</v>
      </c>
      <c r="F378" s="38"/>
      <c r="G378" s="38"/>
      <c r="H378" s="42">
        <v>45699</v>
      </c>
      <c r="I378" s="43">
        <v>1597</v>
      </c>
      <c r="J378" s="38">
        <v>3</v>
      </c>
      <c r="K378" s="54">
        <v>0</v>
      </c>
      <c r="L378" s="54">
        <f>M378*P378</f>
        <v>532.33333333333337</v>
      </c>
      <c r="M378" s="54">
        <f>(I378-K378)/J378</f>
        <v>532.33333333333337</v>
      </c>
      <c r="N378" s="54">
        <f>I378-L378</f>
        <v>1064.6666666666665</v>
      </c>
      <c r="O378" s="38"/>
      <c r="P378" s="44">
        <v>1</v>
      </c>
    </row>
    <row r="379" spans="1:18" x14ac:dyDescent="0.25">
      <c r="A379" s="38">
        <v>373</v>
      </c>
      <c r="B379" s="38" t="s">
        <v>491</v>
      </c>
      <c r="C379" s="38">
        <v>1</v>
      </c>
      <c r="D379" s="41" t="s">
        <v>8</v>
      </c>
      <c r="E379" s="38" t="s">
        <v>92</v>
      </c>
      <c r="F379" s="38"/>
      <c r="G379" s="38"/>
      <c r="H379" s="42">
        <v>45699</v>
      </c>
      <c r="I379" s="43">
        <v>1499.09</v>
      </c>
      <c r="J379" s="38">
        <v>3</v>
      </c>
      <c r="K379" s="54">
        <v>0</v>
      </c>
      <c r="L379" s="54">
        <f>M379*P379</f>
        <v>499.69666666666666</v>
      </c>
      <c r="M379" s="54">
        <f>(I379-K379)/J379</f>
        <v>499.69666666666666</v>
      </c>
      <c r="N379" s="54">
        <f>I379-L379</f>
        <v>999.3933333333332</v>
      </c>
      <c r="O379" s="38" t="s">
        <v>492</v>
      </c>
      <c r="P379" s="44">
        <v>1</v>
      </c>
    </row>
    <row r="380" spans="1:18" x14ac:dyDescent="0.25">
      <c r="A380" s="38">
        <v>374</v>
      </c>
      <c r="B380" s="38" t="s">
        <v>493</v>
      </c>
      <c r="C380" s="38">
        <v>1</v>
      </c>
      <c r="D380" s="41" t="s">
        <v>461</v>
      </c>
      <c r="E380" s="38" t="s">
        <v>189</v>
      </c>
      <c r="F380" s="38"/>
      <c r="G380" s="38"/>
      <c r="H380" s="42">
        <v>45700</v>
      </c>
      <c r="I380" s="43">
        <v>1167</v>
      </c>
      <c r="J380" s="38">
        <v>3</v>
      </c>
      <c r="K380" s="54">
        <v>0</v>
      </c>
      <c r="L380" s="54">
        <f>M380*P380</f>
        <v>389</v>
      </c>
      <c r="M380" s="54">
        <f>(I380-K380)/J380</f>
        <v>389</v>
      </c>
      <c r="N380" s="54">
        <f>I380-L380</f>
        <v>778</v>
      </c>
      <c r="O380" s="38" t="s">
        <v>494</v>
      </c>
      <c r="P380" s="44">
        <v>1</v>
      </c>
    </row>
    <row r="381" spans="1:18" ht="30" x14ac:dyDescent="0.25">
      <c r="A381" s="38">
        <v>375</v>
      </c>
      <c r="B381" s="41" t="s">
        <v>495</v>
      </c>
      <c r="C381" s="38">
        <v>1</v>
      </c>
      <c r="D381" s="41" t="s">
        <v>9</v>
      </c>
      <c r="E381" s="38" t="s">
        <v>82</v>
      </c>
      <c r="F381" s="38"/>
      <c r="G381" s="38"/>
      <c r="H381" s="42">
        <v>45702</v>
      </c>
      <c r="I381" s="43">
        <v>4650</v>
      </c>
      <c r="J381" s="38">
        <v>5</v>
      </c>
      <c r="K381" s="54">
        <v>0</v>
      </c>
      <c r="L381" s="54">
        <f>M381*P381</f>
        <v>930</v>
      </c>
      <c r="M381" s="54">
        <f>(I381-K381)/J381</f>
        <v>930</v>
      </c>
      <c r="N381" s="54">
        <f>I381-L381</f>
        <v>3720</v>
      </c>
      <c r="O381" s="38"/>
      <c r="P381" s="44">
        <v>1</v>
      </c>
    </row>
    <row r="382" spans="1:18" x14ac:dyDescent="0.25">
      <c r="A382" s="38">
        <v>376</v>
      </c>
      <c r="B382" s="2" t="s">
        <v>524</v>
      </c>
      <c r="C382" s="38">
        <v>1</v>
      </c>
      <c r="D382" s="41" t="s">
        <v>11</v>
      </c>
      <c r="E382" s="38" t="s">
        <v>399</v>
      </c>
      <c r="F382" s="38"/>
      <c r="G382" s="38"/>
      <c r="H382" s="42">
        <v>45707</v>
      </c>
      <c r="I382" s="43">
        <v>8200</v>
      </c>
      <c r="J382" s="38">
        <v>10</v>
      </c>
      <c r="K382" s="54">
        <v>1500</v>
      </c>
      <c r="L382" s="54">
        <f>M382*P382</f>
        <v>670</v>
      </c>
      <c r="M382" s="54">
        <f>(I382-K382)/J382</f>
        <v>670</v>
      </c>
      <c r="N382" s="54">
        <f>I382-L382</f>
        <v>7530</v>
      </c>
      <c r="O382" s="38"/>
      <c r="P382" s="44">
        <v>1</v>
      </c>
    </row>
    <row r="383" spans="1:18" x14ac:dyDescent="0.25">
      <c r="A383" s="38">
        <v>377</v>
      </c>
      <c r="B383" s="38" t="s">
        <v>496</v>
      </c>
      <c r="C383" s="38">
        <v>1</v>
      </c>
      <c r="D383" s="41" t="s">
        <v>11</v>
      </c>
      <c r="E383" s="38" t="s">
        <v>262</v>
      </c>
      <c r="F383" s="38"/>
      <c r="G383" s="38" t="s">
        <v>497</v>
      </c>
      <c r="H383" s="42">
        <v>45712</v>
      </c>
      <c r="I383" s="43">
        <v>2500</v>
      </c>
      <c r="J383" s="38">
        <v>5</v>
      </c>
      <c r="K383" s="54">
        <v>0</v>
      </c>
      <c r="L383" s="54">
        <f>M383*P383</f>
        <v>500</v>
      </c>
      <c r="M383" s="54">
        <f>(I383-K383)/J383</f>
        <v>500</v>
      </c>
      <c r="N383" s="54">
        <f>I383-L383</f>
        <v>2000</v>
      </c>
      <c r="O383" s="38"/>
      <c r="P383" s="44">
        <v>1</v>
      </c>
    </row>
    <row r="384" spans="1:18" x14ac:dyDescent="0.25">
      <c r="A384" s="38">
        <v>379</v>
      </c>
      <c r="B384" s="38" t="s">
        <v>498</v>
      </c>
      <c r="C384" s="38">
        <v>1</v>
      </c>
      <c r="D384" s="41" t="s">
        <v>8</v>
      </c>
      <c r="E384" s="38" t="s">
        <v>189</v>
      </c>
      <c r="F384" s="38"/>
      <c r="G384" s="38"/>
      <c r="H384" s="42">
        <v>45714</v>
      </c>
      <c r="I384" s="43">
        <v>1087</v>
      </c>
      <c r="J384" s="38">
        <v>4</v>
      </c>
      <c r="K384" s="54">
        <v>0</v>
      </c>
      <c r="L384" s="54">
        <f>M384*P384</f>
        <v>271.75</v>
      </c>
      <c r="M384" s="54">
        <f>(I384-K384)/J384</f>
        <v>271.75</v>
      </c>
      <c r="N384" s="54">
        <f>I384-L384</f>
        <v>815.25</v>
      </c>
      <c r="O384" s="38" t="s">
        <v>499</v>
      </c>
      <c r="P384" s="44">
        <v>1</v>
      </c>
    </row>
    <row r="385" spans="1:16" x14ac:dyDescent="0.25">
      <c r="A385" s="38">
        <v>380</v>
      </c>
      <c r="B385" s="38" t="s">
        <v>498</v>
      </c>
      <c r="C385" s="38">
        <v>1</v>
      </c>
      <c r="D385" s="41" t="s">
        <v>8</v>
      </c>
      <c r="E385" s="38" t="s">
        <v>189</v>
      </c>
      <c r="F385" s="38"/>
      <c r="G385" s="38"/>
      <c r="H385" s="42">
        <v>45714</v>
      </c>
      <c r="I385" s="43">
        <v>1087</v>
      </c>
      <c r="J385" s="38">
        <v>4</v>
      </c>
      <c r="K385" s="54">
        <v>0</v>
      </c>
      <c r="L385" s="54">
        <f>M385*P385</f>
        <v>271.75</v>
      </c>
      <c r="M385" s="54">
        <f>(I385-K385)/J385</f>
        <v>271.75</v>
      </c>
      <c r="N385" s="54">
        <f>I385-L385</f>
        <v>815.25</v>
      </c>
      <c r="O385" s="38" t="s">
        <v>499</v>
      </c>
      <c r="P385" s="44">
        <v>1</v>
      </c>
    </row>
    <row r="386" spans="1:16" x14ac:dyDescent="0.25">
      <c r="A386" s="38">
        <v>381</v>
      </c>
      <c r="B386" s="38" t="s">
        <v>500</v>
      </c>
      <c r="C386" s="38">
        <v>2</v>
      </c>
      <c r="D386" s="41" t="s">
        <v>8</v>
      </c>
      <c r="E386" s="38" t="s">
        <v>92</v>
      </c>
      <c r="F386" s="38"/>
      <c r="G386" s="38"/>
      <c r="H386" s="42">
        <v>45715</v>
      </c>
      <c r="I386" s="43">
        <v>634.54</v>
      </c>
      <c r="J386" s="38">
        <v>3</v>
      </c>
      <c r="K386" s="54">
        <v>0</v>
      </c>
      <c r="L386" s="54">
        <f>M386*P386</f>
        <v>211.51333333333332</v>
      </c>
      <c r="M386" s="54">
        <f>(I386-K386)/J386</f>
        <v>211.51333333333332</v>
      </c>
      <c r="N386" s="54">
        <f>I386-L386</f>
        <v>423.02666666666664</v>
      </c>
      <c r="O386" s="38" t="s">
        <v>501</v>
      </c>
      <c r="P386" s="44">
        <v>1</v>
      </c>
    </row>
    <row r="387" spans="1:16" x14ac:dyDescent="0.25">
      <c r="A387" s="38">
        <v>383</v>
      </c>
      <c r="B387" s="38" t="s">
        <v>502</v>
      </c>
      <c r="C387" s="38">
        <v>1</v>
      </c>
      <c r="D387" s="41" t="s">
        <v>8</v>
      </c>
      <c r="E387" s="38" t="s">
        <v>92</v>
      </c>
      <c r="F387" s="38"/>
      <c r="G387" s="38"/>
      <c r="H387" s="42">
        <v>45715</v>
      </c>
      <c r="I387" s="43">
        <v>294.54000000000002</v>
      </c>
      <c r="J387" s="38">
        <v>3</v>
      </c>
      <c r="K387" s="54">
        <v>0</v>
      </c>
      <c r="L387" s="54">
        <f>M387*P387</f>
        <v>98.18</v>
      </c>
      <c r="M387" s="54">
        <f>(I387-K387)/J387</f>
        <v>98.18</v>
      </c>
      <c r="N387" s="54">
        <f>I387-L387</f>
        <v>196.36</v>
      </c>
      <c r="O387" s="38" t="s">
        <v>503</v>
      </c>
      <c r="P387" s="44">
        <v>1</v>
      </c>
    </row>
    <row r="388" spans="1:16" x14ac:dyDescent="0.25">
      <c r="A388" s="38">
        <v>384</v>
      </c>
      <c r="B388" s="38" t="s">
        <v>508</v>
      </c>
      <c r="C388" s="38">
        <v>1</v>
      </c>
      <c r="D388" s="41" t="s">
        <v>11</v>
      </c>
      <c r="E388" s="38" t="s">
        <v>125</v>
      </c>
      <c r="F388" s="38"/>
      <c r="G388" s="38"/>
      <c r="H388" s="42">
        <v>45715</v>
      </c>
      <c r="I388" s="43">
        <v>20540</v>
      </c>
      <c r="J388" s="38">
        <v>5</v>
      </c>
      <c r="K388" s="54">
        <v>0</v>
      </c>
      <c r="L388" s="54">
        <f>M388*P388</f>
        <v>4108</v>
      </c>
      <c r="M388" s="54">
        <f>(I388-K388)/J388</f>
        <v>4108</v>
      </c>
      <c r="N388" s="54">
        <f>I388-L388</f>
        <v>16432</v>
      </c>
      <c r="O388" s="38"/>
      <c r="P388" s="44">
        <v>1</v>
      </c>
    </row>
    <row r="389" spans="1:16" x14ac:dyDescent="0.25">
      <c r="A389" s="38">
        <v>385</v>
      </c>
      <c r="B389" s="38" t="s">
        <v>504</v>
      </c>
      <c r="C389" s="38">
        <v>2</v>
      </c>
      <c r="D389" s="41" t="s">
        <v>11</v>
      </c>
      <c r="E389" s="38" t="s">
        <v>262</v>
      </c>
      <c r="F389" s="38"/>
      <c r="G389" s="38"/>
      <c r="H389" s="42">
        <v>45716</v>
      </c>
      <c r="I389" s="43">
        <v>5171</v>
      </c>
      <c r="J389" s="38">
        <v>5</v>
      </c>
      <c r="K389" s="54">
        <v>0</v>
      </c>
      <c r="L389" s="54">
        <f>M389*P389</f>
        <v>1034.2</v>
      </c>
      <c r="M389" s="54">
        <f>(I389-K389)/J389</f>
        <v>1034.2</v>
      </c>
      <c r="N389" s="54">
        <f>I389-L389</f>
        <v>4136.8</v>
      </c>
      <c r="O389" s="38"/>
      <c r="P389" s="44">
        <v>1</v>
      </c>
    </row>
    <row r="390" spans="1:16" x14ac:dyDescent="0.25">
      <c r="A390" s="38">
        <v>386</v>
      </c>
      <c r="B390" s="38" t="s">
        <v>505</v>
      </c>
      <c r="C390" s="38">
        <v>1</v>
      </c>
      <c r="D390" s="41" t="s">
        <v>11</v>
      </c>
      <c r="E390" s="38" t="s">
        <v>262</v>
      </c>
      <c r="F390" s="38"/>
      <c r="G390" s="38" t="s">
        <v>506</v>
      </c>
      <c r="H390" s="42">
        <v>45716</v>
      </c>
      <c r="I390" s="43">
        <v>2898</v>
      </c>
      <c r="J390" s="38">
        <v>5</v>
      </c>
      <c r="K390" s="54">
        <v>0</v>
      </c>
      <c r="L390" s="54">
        <f>M390*P390</f>
        <v>579.6</v>
      </c>
      <c r="M390" s="54">
        <f>(I390-K390)/J390</f>
        <v>579.6</v>
      </c>
      <c r="N390" s="54">
        <f>I390-L390</f>
        <v>2318.4</v>
      </c>
      <c r="O390" s="38"/>
      <c r="P390" s="44">
        <v>1</v>
      </c>
    </row>
    <row r="391" spans="1:16" x14ac:dyDescent="0.25">
      <c r="A391" s="38">
        <v>387</v>
      </c>
      <c r="B391" s="38" t="s">
        <v>507</v>
      </c>
      <c r="C391" s="38">
        <v>8</v>
      </c>
      <c r="D391" s="41" t="s">
        <v>11</v>
      </c>
      <c r="E391" s="38" t="s">
        <v>135</v>
      </c>
      <c r="F391" s="38"/>
      <c r="G391" s="38"/>
      <c r="H391" s="42">
        <v>45721</v>
      </c>
      <c r="I391" s="43">
        <v>4640</v>
      </c>
      <c r="J391" s="38">
        <v>5</v>
      </c>
      <c r="K391" s="54">
        <v>0</v>
      </c>
      <c r="L391" s="54">
        <f>M391*P391</f>
        <v>928</v>
      </c>
      <c r="M391" s="54">
        <f>(I391-K391)/J391</f>
        <v>928</v>
      </c>
      <c r="N391" s="54">
        <f>I391-L391</f>
        <v>3712</v>
      </c>
      <c r="O391" s="38" t="s">
        <v>245</v>
      </c>
      <c r="P391" s="44">
        <v>1</v>
      </c>
    </row>
    <row r="392" spans="1:16" x14ac:dyDescent="0.25">
      <c r="A392" s="38">
        <v>388</v>
      </c>
      <c r="B392" s="92" t="s">
        <v>521</v>
      </c>
      <c r="C392" s="38">
        <v>1</v>
      </c>
      <c r="D392" s="41" t="s">
        <v>9</v>
      </c>
      <c r="E392" s="38" t="s">
        <v>517</v>
      </c>
      <c r="F392" s="38"/>
      <c r="G392" s="38"/>
      <c r="H392" s="42">
        <v>45721</v>
      </c>
      <c r="I392" s="43">
        <v>73000</v>
      </c>
      <c r="J392" s="38">
        <v>10</v>
      </c>
      <c r="K392" s="54">
        <v>7300</v>
      </c>
      <c r="L392" s="54">
        <f>M392*P392</f>
        <v>6570</v>
      </c>
      <c r="M392" s="54">
        <f>(I392-K392)/J392</f>
        <v>6570</v>
      </c>
      <c r="N392" s="54">
        <f>I392-L392</f>
        <v>66430</v>
      </c>
      <c r="O392" s="38"/>
      <c r="P392" s="44">
        <v>1</v>
      </c>
    </row>
    <row r="393" spans="1:16" x14ac:dyDescent="0.25">
      <c r="A393" s="38">
        <v>389</v>
      </c>
      <c r="B393" s="92" t="s">
        <v>511</v>
      </c>
      <c r="C393" s="38">
        <v>1</v>
      </c>
      <c r="D393" s="41" t="s">
        <v>11</v>
      </c>
      <c r="E393" s="38" t="s">
        <v>201</v>
      </c>
      <c r="F393" s="38"/>
      <c r="G393" s="38"/>
      <c r="H393" s="42">
        <v>45728</v>
      </c>
      <c r="I393" s="95">
        <v>2347.9499999999998</v>
      </c>
      <c r="J393" s="38">
        <v>5</v>
      </c>
      <c r="K393" s="54">
        <v>0</v>
      </c>
      <c r="L393" s="54">
        <f>M393*P393</f>
        <v>469.59</v>
      </c>
      <c r="M393" s="54">
        <f>(I393-K393)/J393</f>
        <v>469.59</v>
      </c>
      <c r="N393" s="54">
        <f>I393-L393</f>
        <v>1878.36</v>
      </c>
      <c r="O393" s="38"/>
      <c r="P393" s="44">
        <v>1</v>
      </c>
    </row>
    <row r="394" spans="1:16" x14ac:dyDescent="0.25">
      <c r="A394" s="38">
        <v>390</v>
      </c>
      <c r="B394" s="38" t="s">
        <v>509</v>
      </c>
      <c r="C394" s="38">
        <v>3</v>
      </c>
      <c r="D394" s="41" t="s">
        <v>11</v>
      </c>
      <c r="E394" s="38" t="s">
        <v>125</v>
      </c>
      <c r="F394" s="38"/>
      <c r="G394" s="38"/>
      <c r="H394" s="42">
        <v>45729</v>
      </c>
      <c r="I394" s="43">
        <v>9534</v>
      </c>
      <c r="J394" s="38">
        <v>5</v>
      </c>
      <c r="K394" s="54">
        <v>0</v>
      </c>
      <c r="L394" s="54">
        <f>M394*P394</f>
        <v>1906.8</v>
      </c>
      <c r="M394" s="54">
        <f>(I394-K394)/J394</f>
        <v>1906.8</v>
      </c>
      <c r="N394" s="54">
        <f>I394-L394</f>
        <v>7627.2</v>
      </c>
      <c r="O394" s="38" t="s">
        <v>510</v>
      </c>
      <c r="P394" s="44">
        <v>1</v>
      </c>
    </row>
    <row r="395" spans="1:16" x14ac:dyDescent="0.25">
      <c r="A395" s="38">
        <v>391</v>
      </c>
      <c r="B395" s="41" t="s">
        <v>512</v>
      </c>
      <c r="C395" s="38">
        <v>1</v>
      </c>
      <c r="D395" s="41" t="s">
        <v>11</v>
      </c>
      <c r="E395" s="38" t="s">
        <v>399</v>
      </c>
      <c r="F395" s="38"/>
      <c r="G395" s="38"/>
      <c r="H395" s="42">
        <v>45733</v>
      </c>
      <c r="I395" s="43">
        <v>15000</v>
      </c>
      <c r="J395" s="38">
        <v>10</v>
      </c>
      <c r="K395" s="54">
        <v>1500</v>
      </c>
      <c r="L395" s="54">
        <f>M395*P395</f>
        <v>1350</v>
      </c>
      <c r="M395" s="54">
        <f>(I395-K395)/J395</f>
        <v>1350</v>
      </c>
      <c r="N395" s="54">
        <f>I395-L395</f>
        <v>13650</v>
      </c>
      <c r="O395" s="38"/>
      <c r="P395" s="44">
        <v>1</v>
      </c>
    </row>
    <row r="396" spans="1:16" x14ac:dyDescent="0.25">
      <c r="A396" s="38">
        <v>392</v>
      </c>
      <c r="B396" s="2" t="s">
        <v>513</v>
      </c>
      <c r="C396" s="38">
        <v>1</v>
      </c>
      <c r="D396" s="41" t="s">
        <v>8</v>
      </c>
      <c r="E396" s="38" t="s">
        <v>92</v>
      </c>
      <c r="F396" s="38"/>
      <c r="G396" s="38"/>
      <c r="H396" s="42">
        <v>45733</v>
      </c>
      <c r="I396" s="38">
        <v>2740.91</v>
      </c>
      <c r="J396" s="43">
        <v>3</v>
      </c>
      <c r="K396" s="54">
        <v>0</v>
      </c>
      <c r="L396" s="54">
        <f>M396*P396</f>
        <v>913.63666666666666</v>
      </c>
      <c r="M396" s="54">
        <f>(I396-K396)/J396</f>
        <v>913.63666666666666</v>
      </c>
      <c r="N396" s="54">
        <f>I396-L396</f>
        <v>1827.2733333333331</v>
      </c>
      <c r="O396" s="38" t="s">
        <v>514</v>
      </c>
      <c r="P396" s="44">
        <v>1</v>
      </c>
    </row>
    <row r="397" spans="1:16" x14ac:dyDescent="0.25">
      <c r="A397" s="38">
        <v>393</v>
      </c>
      <c r="B397" s="2" t="s">
        <v>515</v>
      </c>
      <c r="C397" s="38">
        <v>1</v>
      </c>
      <c r="D397" s="41" t="s">
        <v>8</v>
      </c>
      <c r="E397" s="38" t="s">
        <v>92</v>
      </c>
      <c r="F397" s="38"/>
      <c r="G397" s="38"/>
      <c r="H397" s="42">
        <v>45733</v>
      </c>
      <c r="I397" s="38">
        <v>2740.91</v>
      </c>
      <c r="J397" s="43">
        <v>3</v>
      </c>
      <c r="K397" s="54">
        <v>0</v>
      </c>
      <c r="L397" s="54">
        <f>M397*P397</f>
        <v>913.63666666666666</v>
      </c>
      <c r="M397" s="54">
        <f>(I397-K397)/J397</f>
        <v>913.63666666666666</v>
      </c>
      <c r="N397" s="54">
        <f>I397-L397</f>
        <v>1827.2733333333331</v>
      </c>
      <c r="O397" s="38" t="s">
        <v>514</v>
      </c>
      <c r="P397" s="44">
        <v>1</v>
      </c>
    </row>
    <row r="398" spans="1:16" x14ac:dyDescent="0.25">
      <c r="A398" s="38">
        <v>394</v>
      </c>
      <c r="B398" s="38" t="s">
        <v>521</v>
      </c>
      <c r="C398" s="38">
        <v>1</v>
      </c>
      <c r="D398" s="41" t="s">
        <v>9</v>
      </c>
      <c r="E398" s="38" t="s">
        <v>517</v>
      </c>
      <c r="F398" s="38"/>
      <c r="G398" s="38"/>
      <c r="H398" s="42">
        <v>45734</v>
      </c>
      <c r="I398" s="43">
        <v>73000</v>
      </c>
      <c r="J398" s="38">
        <v>10</v>
      </c>
      <c r="K398" s="54">
        <v>7300</v>
      </c>
      <c r="L398" s="54">
        <f>M398*P398</f>
        <v>6570</v>
      </c>
      <c r="M398" s="54">
        <f>(I398-K398)/J398</f>
        <v>6570</v>
      </c>
      <c r="N398" s="54">
        <f>I398-L398</f>
        <v>66430</v>
      </c>
      <c r="O398" s="38"/>
      <c r="P398" s="44">
        <v>1</v>
      </c>
    </row>
    <row r="399" spans="1:16" x14ac:dyDescent="0.25">
      <c r="A399" s="38">
        <v>395</v>
      </c>
      <c r="B399" s="92" t="s">
        <v>522</v>
      </c>
      <c r="C399" s="38">
        <v>1</v>
      </c>
      <c r="D399" s="41" t="s">
        <v>9</v>
      </c>
      <c r="E399" s="38" t="s">
        <v>517</v>
      </c>
      <c r="F399" s="38"/>
      <c r="G399" s="38" t="s">
        <v>523</v>
      </c>
      <c r="H399" s="42">
        <v>45736</v>
      </c>
      <c r="I399" s="43">
        <v>159000</v>
      </c>
      <c r="J399" s="38">
        <v>10</v>
      </c>
      <c r="K399" s="54">
        <v>15900</v>
      </c>
      <c r="L399" s="54">
        <f>M399*P399</f>
        <v>14310</v>
      </c>
      <c r="M399" s="54">
        <f>(I399-K399)/J399</f>
        <v>14310</v>
      </c>
      <c r="N399" s="54">
        <f>I399-L399</f>
        <v>144690</v>
      </c>
      <c r="O399" s="38"/>
      <c r="P399" s="44">
        <v>1</v>
      </c>
    </row>
    <row r="400" spans="1:16" x14ac:dyDescent="0.25">
      <c r="A400" s="38">
        <v>396</v>
      </c>
      <c r="B400" t="s">
        <v>525</v>
      </c>
      <c r="C400" s="38">
        <v>1</v>
      </c>
      <c r="D400" s="38" t="s">
        <v>11</v>
      </c>
      <c r="E400" s="38" t="s">
        <v>125</v>
      </c>
      <c r="F400" s="38"/>
      <c r="G400" s="38"/>
      <c r="H400" s="42">
        <v>45747</v>
      </c>
      <c r="I400" s="43">
        <v>1015</v>
      </c>
      <c r="J400" s="38">
        <v>5</v>
      </c>
      <c r="K400" s="39">
        <v>0</v>
      </c>
      <c r="L400" s="54">
        <f>M400*P400</f>
        <v>203</v>
      </c>
      <c r="M400" s="39">
        <f>(I400-K400)/J400</f>
        <v>203</v>
      </c>
      <c r="N400" s="39">
        <f>I400-L400</f>
        <v>812</v>
      </c>
      <c r="O400" s="38"/>
      <c r="P400" s="40">
        <v>1</v>
      </c>
    </row>
    <row r="401" spans="1:16" x14ac:dyDescent="0.25">
      <c r="A401" s="38">
        <v>397</v>
      </c>
      <c r="B401" t="s">
        <v>526</v>
      </c>
      <c r="C401" s="38">
        <v>1</v>
      </c>
      <c r="D401" s="38" t="s">
        <v>11</v>
      </c>
      <c r="E401" s="38" t="s">
        <v>125</v>
      </c>
      <c r="F401" s="38"/>
      <c r="G401" s="38"/>
      <c r="H401" s="42">
        <v>45747</v>
      </c>
      <c r="I401" s="43">
        <v>4159.5600000000004</v>
      </c>
      <c r="J401" s="38">
        <v>5</v>
      </c>
      <c r="K401" s="39">
        <v>0</v>
      </c>
      <c r="L401" s="54">
        <f>M401*P401</f>
        <v>831.91200000000003</v>
      </c>
      <c r="M401" s="39">
        <f>(I401-K401)/J401</f>
        <v>831.91200000000003</v>
      </c>
      <c r="N401" s="39">
        <f>I401-L401</f>
        <v>3327.6480000000001</v>
      </c>
      <c r="O401" s="38"/>
      <c r="P401" s="40">
        <v>1</v>
      </c>
    </row>
    <row r="402" spans="1:16" x14ac:dyDescent="0.25">
      <c r="A402" s="38">
        <v>398</v>
      </c>
      <c r="B402" t="s">
        <v>527</v>
      </c>
      <c r="C402" s="38">
        <v>1</v>
      </c>
      <c r="D402" s="38" t="s">
        <v>9</v>
      </c>
      <c r="E402" s="38" t="s">
        <v>528</v>
      </c>
      <c r="F402" s="38"/>
      <c r="G402" s="38"/>
      <c r="H402" s="42">
        <v>45748</v>
      </c>
      <c r="I402" s="43">
        <v>14710</v>
      </c>
      <c r="J402" s="38">
        <v>5</v>
      </c>
      <c r="K402" s="39">
        <v>0</v>
      </c>
      <c r="L402" s="54">
        <f>M402*P402</f>
        <v>2942</v>
      </c>
      <c r="M402" s="39">
        <f>(I402-K402)/J402</f>
        <v>2942</v>
      </c>
      <c r="N402" s="39">
        <f>I402-L402</f>
        <v>11768</v>
      </c>
      <c r="O402" s="38"/>
      <c r="P402" s="40">
        <v>1</v>
      </c>
    </row>
    <row r="403" spans="1:16" x14ac:dyDescent="0.25">
      <c r="A403" s="38">
        <v>399</v>
      </c>
      <c r="B403" s="92" t="s">
        <v>530</v>
      </c>
      <c r="C403" s="38">
        <v>2</v>
      </c>
      <c r="D403" s="41" t="s">
        <v>11</v>
      </c>
      <c r="E403" s="38" t="s">
        <v>238</v>
      </c>
      <c r="F403" s="38"/>
      <c r="G403" s="38"/>
      <c r="H403" s="42">
        <v>45749</v>
      </c>
      <c r="I403" s="43">
        <v>3677.4</v>
      </c>
      <c r="J403" s="38">
        <v>10</v>
      </c>
      <c r="K403" s="54">
        <v>0</v>
      </c>
      <c r="L403" s="54">
        <f>M403*P403</f>
        <v>367.74</v>
      </c>
      <c r="M403" s="54">
        <f>(I403-K403)/J403</f>
        <v>367.74</v>
      </c>
      <c r="N403" s="54">
        <f>I403-L403</f>
        <v>3309.66</v>
      </c>
      <c r="O403" s="38" t="s">
        <v>531</v>
      </c>
      <c r="P403" s="44">
        <v>1</v>
      </c>
    </row>
    <row r="404" spans="1:16" x14ac:dyDescent="0.25">
      <c r="A404" s="38">
        <v>400</v>
      </c>
      <c r="B404" s="2" t="s">
        <v>529</v>
      </c>
      <c r="C404" s="38">
        <v>1</v>
      </c>
      <c r="D404" s="41" t="s">
        <v>11</v>
      </c>
      <c r="E404" s="38" t="s">
        <v>108</v>
      </c>
      <c r="F404" s="38"/>
      <c r="G404" s="38"/>
      <c r="H404" s="42">
        <v>45750</v>
      </c>
      <c r="I404" s="43">
        <v>1992.15</v>
      </c>
      <c r="J404" s="38">
        <v>5</v>
      </c>
      <c r="K404" s="54">
        <v>0</v>
      </c>
      <c r="L404" s="54">
        <f>M404*P404</f>
        <v>398.43</v>
      </c>
      <c r="M404" s="54">
        <f>(I404-K404)/J404</f>
        <v>398.43</v>
      </c>
      <c r="N404" s="54">
        <f>I404-L404</f>
        <v>1593.72</v>
      </c>
      <c r="O404" s="38"/>
      <c r="P404" s="44">
        <v>1</v>
      </c>
    </row>
    <row r="405" spans="1:16" x14ac:dyDescent="0.25">
      <c r="A405" s="38">
        <v>401</v>
      </c>
      <c r="B405" s="38" t="s">
        <v>532</v>
      </c>
      <c r="C405" s="38">
        <v>1</v>
      </c>
      <c r="D405" s="41" t="s">
        <v>11</v>
      </c>
      <c r="E405" s="38" t="s">
        <v>533</v>
      </c>
      <c r="F405" s="38"/>
      <c r="G405" s="38"/>
      <c r="H405" s="42">
        <v>45754</v>
      </c>
      <c r="I405" s="43">
        <v>1206.3599999999999</v>
      </c>
      <c r="J405" s="38">
        <v>3</v>
      </c>
      <c r="K405" s="54">
        <v>0</v>
      </c>
      <c r="L405" s="54">
        <f>M405*P405</f>
        <v>402.11999999999995</v>
      </c>
      <c r="M405" s="54">
        <f>(I405-K405)/J405</f>
        <v>402.11999999999995</v>
      </c>
      <c r="N405" s="54">
        <f>I405-L405</f>
        <v>804.24</v>
      </c>
      <c r="O405" s="38"/>
      <c r="P405" s="44">
        <v>1</v>
      </c>
    </row>
    <row r="406" spans="1:16" x14ac:dyDescent="0.25">
      <c r="A406" s="38">
        <v>402</v>
      </c>
      <c r="B406" s="38" t="s">
        <v>534</v>
      </c>
      <c r="C406" s="38">
        <v>1</v>
      </c>
      <c r="D406" s="41" t="s">
        <v>11</v>
      </c>
      <c r="E406" s="38" t="s">
        <v>201</v>
      </c>
      <c r="F406" s="38"/>
      <c r="G406" s="38"/>
      <c r="H406" s="42">
        <v>45754</v>
      </c>
      <c r="I406" s="43">
        <v>1340.91</v>
      </c>
      <c r="J406" s="38">
        <v>5</v>
      </c>
      <c r="K406" s="54">
        <v>0</v>
      </c>
      <c r="L406" s="54">
        <f>M406*P406</f>
        <v>268.18200000000002</v>
      </c>
      <c r="M406" s="54">
        <f>(I406-K406)/J406</f>
        <v>268.18200000000002</v>
      </c>
      <c r="N406" s="54">
        <f>I406-L406</f>
        <v>1072.7280000000001</v>
      </c>
      <c r="O406" s="38"/>
      <c r="P406" s="44">
        <v>1</v>
      </c>
    </row>
    <row r="407" spans="1:16" x14ac:dyDescent="0.25">
      <c r="A407" s="38">
        <v>403</v>
      </c>
      <c r="B407" s="38" t="s">
        <v>535</v>
      </c>
      <c r="C407" s="38">
        <v>1</v>
      </c>
      <c r="D407" s="41" t="s">
        <v>11</v>
      </c>
      <c r="E407" s="38" t="s">
        <v>536</v>
      </c>
      <c r="F407" s="38"/>
      <c r="G407" s="38" t="s">
        <v>537</v>
      </c>
      <c r="H407" s="42">
        <v>45758</v>
      </c>
      <c r="I407" s="43">
        <v>2800</v>
      </c>
      <c r="J407" s="38">
        <v>5</v>
      </c>
      <c r="K407" s="54">
        <v>0</v>
      </c>
      <c r="L407" s="54">
        <f>M407*P407</f>
        <v>560</v>
      </c>
      <c r="M407" s="54">
        <f>(I407-K407)/J407</f>
        <v>560</v>
      </c>
      <c r="N407" s="54">
        <f>I407-L407</f>
        <v>2240</v>
      </c>
      <c r="O407" s="38"/>
      <c r="P407" s="44">
        <v>1</v>
      </c>
    </row>
    <row r="408" spans="1:16" x14ac:dyDescent="0.25">
      <c r="A408" s="38">
        <v>404</v>
      </c>
      <c r="B408" s="38" t="s">
        <v>544</v>
      </c>
      <c r="C408" s="38">
        <v>1</v>
      </c>
      <c r="D408" s="41" t="s">
        <v>8</v>
      </c>
      <c r="E408" s="38" t="s">
        <v>545</v>
      </c>
      <c r="F408" s="38"/>
      <c r="G408" s="38" t="s">
        <v>546</v>
      </c>
      <c r="H408" s="42">
        <v>45777</v>
      </c>
      <c r="I408" s="43">
        <v>3700</v>
      </c>
      <c r="J408" s="38">
        <v>3</v>
      </c>
      <c r="K408" s="54">
        <v>0</v>
      </c>
      <c r="L408" s="54">
        <f>M408*P408</f>
        <v>1233.3333333333333</v>
      </c>
      <c r="M408" s="54">
        <f>(I408-K408)/J408</f>
        <v>1233.3333333333333</v>
      </c>
      <c r="N408" s="54">
        <f>I408-L408</f>
        <v>2466.666666666667</v>
      </c>
      <c r="O408" s="38"/>
      <c r="P408" s="44">
        <v>1</v>
      </c>
    </row>
    <row r="409" spans="1:16" x14ac:dyDescent="0.25">
      <c r="A409" s="38">
        <v>405</v>
      </c>
      <c r="B409" s="38" t="s">
        <v>538</v>
      </c>
      <c r="C409" s="38">
        <v>1</v>
      </c>
      <c r="D409" s="41" t="s">
        <v>9</v>
      </c>
      <c r="E409" s="38" t="s">
        <v>517</v>
      </c>
      <c r="F409" s="38"/>
      <c r="G409" s="38"/>
      <c r="H409" s="42">
        <v>45778</v>
      </c>
      <c r="I409" s="43">
        <v>70000</v>
      </c>
      <c r="J409" s="38">
        <v>10</v>
      </c>
      <c r="K409" s="54">
        <v>7000</v>
      </c>
      <c r="L409" s="54">
        <f>M409*P409</f>
        <v>6300</v>
      </c>
      <c r="M409" s="54">
        <f>(I409-K409)/J409</f>
        <v>6300</v>
      </c>
      <c r="N409" s="54">
        <f>I409-L409</f>
        <v>63700</v>
      </c>
      <c r="O409" s="38"/>
      <c r="P409" s="44">
        <v>1</v>
      </c>
    </row>
    <row r="410" spans="1:16" x14ac:dyDescent="0.25">
      <c r="A410" s="38">
        <v>406</v>
      </c>
      <c r="B410" s="92" t="s">
        <v>539</v>
      </c>
      <c r="C410" s="38">
        <v>1</v>
      </c>
      <c r="D410" s="41" t="s">
        <v>11</v>
      </c>
      <c r="E410" s="38" t="s">
        <v>540</v>
      </c>
      <c r="F410" s="38"/>
      <c r="G410" s="88" t="s">
        <v>541</v>
      </c>
      <c r="H410" s="42">
        <v>45783</v>
      </c>
      <c r="I410" s="43">
        <v>1768.18</v>
      </c>
      <c r="J410" s="38">
        <v>3</v>
      </c>
      <c r="K410" s="54">
        <v>0</v>
      </c>
      <c r="L410" s="54">
        <f>M410*P410</f>
        <v>589.39333333333332</v>
      </c>
      <c r="M410" s="54">
        <f>(I410-K410)/J410</f>
        <v>589.39333333333332</v>
      </c>
      <c r="N410" s="54">
        <f>I410-L410</f>
        <v>1178.7866666666669</v>
      </c>
      <c r="O410" s="38" t="s">
        <v>542</v>
      </c>
      <c r="P410" s="44">
        <v>1</v>
      </c>
    </row>
    <row r="411" spans="1:16" x14ac:dyDescent="0.25">
      <c r="A411" s="38">
        <v>407</v>
      </c>
      <c r="B411" s="89" t="s">
        <v>547</v>
      </c>
      <c r="C411" s="38">
        <v>1</v>
      </c>
      <c r="D411" s="41" t="s">
        <v>11</v>
      </c>
      <c r="E411" s="38" t="s">
        <v>262</v>
      </c>
      <c r="F411" s="38"/>
      <c r="G411" s="38"/>
      <c r="H411" s="42">
        <v>45790</v>
      </c>
      <c r="I411" s="43">
        <v>2470</v>
      </c>
      <c r="J411" s="38">
        <v>5</v>
      </c>
      <c r="K411" s="54">
        <v>0</v>
      </c>
      <c r="L411" s="54">
        <f>M411*P411</f>
        <v>494</v>
      </c>
      <c r="M411" s="54">
        <f>(I411-K411)/J411</f>
        <v>494</v>
      </c>
      <c r="N411" s="54">
        <f>I411-L411</f>
        <v>1976</v>
      </c>
      <c r="O411" s="38"/>
      <c r="P411" s="44">
        <v>1</v>
      </c>
    </row>
    <row r="412" spans="1:16" x14ac:dyDescent="0.25">
      <c r="A412" s="82">
        <v>408</v>
      </c>
      <c r="B412" s="93" t="s">
        <v>548</v>
      </c>
      <c r="C412" s="38">
        <v>1</v>
      </c>
      <c r="D412" s="41" t="s">
        <v>11</v>
      </c>
      <c r="E412" s="38" t="s">
        <v>262</v>
      </c>
      <c r="F412" s="38"/>
      <c r="G412" s="38"/>
      <c r="H412" s="42">
        <v>45790</v>
      </c>
      <c r="I412" s="43">
        <v>2470</v>
      </c>
      <c r="J412" s="38">
        <v>5</v>
      </c>
      <c r="K412" s="54">
        <v>0</v>
      </c>
      <c r="L412" s="54">
        <f>M412*P412</f>
        <v>494</v>
      </c>
      <c r="M412" s="54">
        <f>(I412-K412)/J412</f>
        <v>494</v>
      </c>
      <c r="N412" s="54">
        <f>I412-L412</f>
        <v>1976</v>
      </c>
      <c r="O412" s="38"/>
      <c r="P412" s="44">
        <v>1</v>
      </c>
    </row>
    <row r="413" spans="1:16" x14ac:dyDescent="0.25">
      <c r="A413" s="38">
        <v>409</v>
      </c>
      <c r="B413" s="2" t="s">
        <v>549</v>
      </c>
      <c r="C413" s="38">
        <v>1</v>
      </c>
      <c r="D413" s="41" t="s">
        <v>11</v>
      </c>
      <c r="E413" s="38" t="s">
        <v>262</v>
      </c>
      <c r="F413" s="38"/>
      <c r="G413" s="38"/>
      <c r="H413" s="42">
        <v>45790</v>
      </c>
      <c r="I413" s="43">
        <v>2470</v>
      </c>
      <c r="J413" s="38">
        <v>5</v>
      </c>
      <c r="K413" s="54">
        <v>0</v>
      </c>
      <c r="L413" s="54">
        <f>M413*P413</f>
        <v>494</v>
      </c>
      <c r="M413" s="54">
        <f>(I413-K413)/J413</f>
        <v>494</v>
      </c>
      <c r="N413" s="54">
        <f>I413-L413</f>
        <v>1976</v>
      </c>
      <c r="O413" s="38"/>
      <c r="P413" s="44">
        <v>1</v>
      </c>
    </row>
    <row r="414" spans="1:16" x14ac:dyDescent="0.25">
      <c r="A414" s="34">
        <v>410</v>
      </c>
      <c r="B414" s="2" t="s">
        <v>550</v>
      </c>
      <c r="C414" s="38">
        <v>1</v>
      </c>
      <c r="D414" s="41" t="s">
        <v>11</v>
      </c>
      <c r="E414" s="38" t="s">
        <v>262</v>
      </c>
      <c r="F414" s="38"/>
      <c r="G414" s="38"/>
      <c r="H414" s="42">
        <v>45790</v>
      </c>
      <c r="I414" s="43">
        <v>2089.1</v>
      </c>
      <c r="J414" s="38">
        <v>5</v>
      </c>
      <c r="K414" s="54">
        <v>0</v>
      </c>
      <c r="L414" s="54">
        <f>M414*P414</f>
        <v>417.82</v>
      </c>
      <c r="M414" s="54">
        <f>(I414-K414)/J414</f>
        <v>417.82</v>
      </c>
      <c r="N414" s="54">
        <f>I414-L414</f>
        <v>1671.28</v>
      </c>
      <c r="O414" s="38"/>
      <c r="P414" s="44">
        <v>1</v>
      </c>
    </row>
    <row r="415" spans="1:16" x14ac:dyDescent="0.25">
      <c r="A415" s="38">
        <v>411</v>
      </c>
      <c r="B415" s="2" t="s">
        <v>551</v>
      </c>
      <c r="C415" s="38">
        <v>1</v>
      </c>
      <c r="D415" s="41" t="s">
        <v>11</v>
      </c>
      <c r="E415" s="38" t="s">
        <v>262</v>
      </c>
      <c r="F415" s="38"/>
      <c r="G415" s="38"/>
      <c r="H415" s="42">
        <v>45790</v>
      </c>
      <c r="I415" s="43">
        <v>2089.1</v>
      </c>
      <c r="J415" s="38">
        <v>5</v>
      </c>
      <c r="K415" s="54">
        <v>0</v>
      </c>
      <c r="L415" s="54">
        <f>M415*P415</f>
        <v>417.82</v>
      </c>
      <c r="M415" s="54">
        <f>(I415-K415)/J415</f>
        <v>417.82</v>
      </c>
      <c r="N415" s="54">
        <f>I415-L415</f>
        <v>1671.28</v>
      </c>
      <c r="O415" s="38"/>
      <c r="P415" s="44">
        <v>1</v>
      </c>
    </row>
    <row r="416" spans="1:16" x14ac:dyDescent="0.25">
      <c r="A416" s="38">
        <v>412</v>
      </c>
      <c r="B416" s="2" t="s">
        <v>552</v>
      </c>
      <c r="C416" s="38">
        <v>1</v>
      </c>
      <c r="D416" s="41" t="s">
        <v>11</v>
      </c>
      <c r="E416" s="38" t="s">
        <v>262</v>
      </c>
      <c r="F416" s="38"/>
      <c r="G416" s="38"/>
      <c r="H416" s="42">
        <v>45790</v>
      </c>
      <c r="I416" s="43">
        <v>2089.1</v>
      </c>
      <c r="J416" s="38">
        <v>5</v>
      </c>
      <c r="K416" s="54">
        <v>0</v>
      </c>
      <c r="L416" s="54">
        <f>M416*P416</f>
        <v>417.82</v>
      </c>
      <c r="M416" s="54">
        <f>(I416-K416)/J416</f>
        <v>417.82</v>
      </c>
      <c r="N416" s="54">
        <f>I416-L416</f>
        <v>1671.28</v>
      </c>
      <c r="O416" s="38"/>
      <c r="P416" s="44">
        <v>1</v>
      </c>
    </row>
    <row r="417" spans="1:16" x14ac:dyDescent="0.25">
      <c r="A417" s="38">
        <v>413</v>
      </c>
      <c r="B417" s="89" t="s">
        <v>543</v>
      </c>
      <c r="C417" s="38">
        <v>2</v>
      </c>
      <c r="D417" s="41" t="s">
        <v>8</v>
      </c>
      <c r="E417" s="38" t="s">
        <v>92</v>
      </c>
      <c r="F417" s="38"/>
      <c r="G417" s="38"/>
      <c r="H417" s="42">
        <v>45793</v>
      </c>
      <c r="I417" s="43">
        <v>2467.4</v>
      </c>
      <c r="J417" s="38">
        <v>3</v>
      </c>
      <c r="K417" s="54">
        <v>0</v>
      </c>
      <c r="L417" s="54">
        <f>M417*P417</f>
        <v>822.4666666666667</v>
      </c>
      <c r="M417" s="54">
        <f>(I417-K417)/J417</f>
        <v>822.4666666666667</v>
      </c>
      <c r="N417" s="54">
        <f>I417-L417</f>
        <v>1644.9333333333334</v>
      </c>
      <c r="O417" s="38"/>
      <c r="P417" s="44">
        <v>1</v>
      </c>
    </row>
    <row r="418" spans="1:16" x14ac:dyDescent="0.25">
      <c r="A418" s="38">
        <v>414</v>
      </c>
      <c r="B418" s="92" t="s">
        <v>564</v>
      </c>
      <c r="C418" s="38">
        <v>1</v>
      </c>
      <c r="D418" s="41" t="s">
        <v>11</v>
      </c>
      <c r="E418" s="38" t="s">
        <v>565</v>
      </c>
      <c r="F418" s="38"/>
      <c r="G418" s="38"/>
      <c r="H418" s="42">
        <v>45799</v>
      </c>
      <c r="I418" s="43">
        <v>543</v>
      </c>
      <c r="J418" s="38">
        <v>5</v>
      </c>
      <c r="K418" s="54">
        <v>0</v>
      </c>
      <c r="L418" s="54">
        <f>M418*P418</f>
        <v>108.6</v>
      </c>
      <c r="M418" s="54">
        <f>(I418-K418)/J418</f>
        <v>108.6</v>
      </c>
      <c r="N418" s="54">
        <f>I418-L418</f>
        <v>434.4</v>
      </c>
      <c r="O418" s="38"/>
      <c r="P418" s="44">
        <v>1</v>
      </c>
    </row>
    <row r="419" spans="1:16" x14ac:dyDescent="0.25">
      <c r="A419" s="38">
        <v>415</v>
      </c>
      <c r="B419" s="38" t="s">
        <v>554</v>
      </c>
      <c r="C419" s="38">
        <v>1</v>
      </c>
      <c r="D419" s="41" t="s">
        <v>8</v>
      </c>
      <c r="E419" s="38" t="s">
        <v>555</v>
      </c>
      <c r="F419" s="38"/>
      <c r="G419" s="38">
        <v>892514348</v>
      </c>
      <c r="H419" s="42">
        <v>45804</v>
      </c>
      <c r="I419" s="43">
        <v>1217</v>
      </c>
      <c r="J419" s="38">
        <v>3</v>
      </c>
      <c r="K419" s="54">
        <v>0</v>
      </c>
      <c r="L419" s="54">
        <f>M419*P419</f>
        <v>405.66666666666669</v>
      </c>
      <c r="M419" s="54">
        <f>(I419-K419)/J419</f>
        <v>405.66666666666669</v>
      </c>
      <c r="N419" s="54">
        <f>I419-L419</f>
        <v>811.33333333333326</v>
      </c>
      <c r="O419" s="38"/>
      <c r="P419" s="44">
        <v>1</v>
      </c>
    </row>
    <row r="420" spans="1:16" x14ac:dyDescent="0.25">
      <c r="A420" s="38">
        <v>416</v>
      </c>
      <c r="B420" s="38" t="s">
        <v>560</v>
      </c>
      <c r="C420" s="38">
        <v>1</v>
      </c>
      <c r="D420" s="41" t="s">
        <v>11</v>
      </c>
      <c r="E420" s="38" t="s">
        <v>561</v>
      </c>
      <c r="F420" s="38"/>
      <c r="G420" s="38"/>
      <c r="H420" s="42">
        <v>45805</v>
      </c>
      <c r="I420" s="43">
        <v>18750</v>
      </c>
      <c r="J420" s="38">
        <v>5</v>
      </c>
      <c r="K420" s="54">
        <v>0</v>
      </c>
      <c r="L420" s="54">
        <f>M420*P420</f>
        <v>3750</v>
      </c>
      <c r="M420" s="54">
        <f>(I420-K420)/J420</f>
        <v>3750</v>
      </c>
      <c r="N420" s="54">
        <f>I420-L420</f>
        <v>15000</v>
      </c>
      <c r="O420" s="38"/>
      <c r="P420" s="44">
        <v>1</v>
      </c>
    </row>
    <row r="421" spans="1:16" x14ac:dyDescent="0.25">
      <c r="A421" s="38">
        <v>417</v>
      </c>
      <c r="B421" s="89" t="s">
        <v>543</v>
      </c>
      <c r="C421" s="38">
        <v>1</v>
      </c>
      <c r="D421" s="41" t="s">
        <v>8</v>
      </c>
      <c r="E421" s="38" t="s">
        <v>92</v>
      </c>
      <c r="F421" s="38"/>
      <c r="G421" s="38"/>
      <c r="H421" s="42">
        <v>45807</v>
      </c>
      <c r="I421" s="43">
        <v>1233.7</v>
      </c>
      <c r="J421" s="38">
        <v>3</v>
      </c>
      <c r="K421" s="54">
        <v>0</v>
      </c>
      <c r="L421" s="54">
        <f>M421*P421</f>
        <v>411.23333333333335</v>
      </c>
      <c r="M421" s="54">
        <f>(I421-K421)/J421</f>
        <v>411.23333333333335</v>
      </c>
      <c r="N421" s="54">
        <f>I421-L421</f>
        <v>822.4666666666667</v>
      </c>
      <c r="O421" s="38"/>
      <c r="P421" s="44">
        <v>1</v>
      </c>
    </row>
    <row r="422" spans="1:16" x14ac:dyDescent="0.25">
      <c r="A422" s="38">
        <v>418</v>
      </c>
      <c r="B422" s="38" t="s">
        <v>576</v>
      </c>
      <c r="C422" s="38">
        <v>2</v>
      </c>
      <c r="D422" s="41" t="s">
        <v>11</v>
      </c>
      <c r="E422" s="38" t="s">
        <v>197</v>
      </c>
      <c r="F422" s="38"/>
      <c r="G422" s="38"/>
      <c r="H422" s="42">
        <v>45807</v>
      </c>
      <c r="I422" s="43">
        <v>24000</v>
      </c>
      <c r="J422" s="38">
        <v>5</v>
      </c>
      <c r="K422" s="54">
        <v>0</v>
      </c>
      <c r="L422" s="54">
        <f>M422*P422</f>
        <v>4800</v>
      </c>
      <c r="M422" s="54">
        <f>(I422-K422)/J422</f>
        <v>4800</v>
      </c>
      <c r="N422" s="54">
        <f>I422-L422</f>
        <v>19200</v>
      </c>
      <c r="O422" s="38"/>
      <c r="P422" s="44">
        <v>1</v>
      </c>
    </row>
    <row r="423" spans="1:16" x14ac:dyDescent="0.25">
      <c r="A423" s="38">
        <v>419</v>
      </c>
      <c r="B423" s="38" t="s">
        <v>577</v>
      </c>
      <c r="C423" s="38">
        <v>1</v>
      </c>
      <c r="D423" s="41" t="s">
        <v>11</v>
      </c>
      <c r="E423" s="38" t="s">
        <v>197</v>
      </c>
      <c r="F423" s="38"/>
      <c r="G423" s="38"/>
      <c r="H423" s="42">
        <v>45807</v>
      </c>
      <c r="I423" s="43">
        <v>18000</v>
      </c>
      <c r="J423" s="38">
        <v>5</v>
      </c>
      <c r="K423" s="54">
        <v>0</v>
      </c>
      <c r="L423" s="54">
        <f>M423*P423</f>
        <v>3600</v>
      </c>
      <c r="M423" s="54">
        <f>(I423-K423)/J423</f>
        <v>3600</v>
      </c>
      <c r="N423" s="54">
        <f>I423-L423</f>
        <v>14400</v>
      </c>
      <c r="O423" s="38"/>
      <c r="P423" s="44">
        <v>1</v>
      </c>
    </row>
    <row r="424" spans="1:16" x14ac:dyDescent="0.25">
      <c r="A424" s="34">
        <v>420</v>
      </c>
      <c r="B424" s="38" t="s">
        <v>578</v>
      </c>
      <c r="C424" s="38">
        <v>2</v>
      </c>
      <c r="D424" s="41" t="s">
        <v>11</v>
      </c>
      <c r="E424" s="38" t="s">
        <v>197</v>
      </c>
      <c r="F424" s="38"/>
      <c r="G424" s="38"/>
      <c r="H424" s="42">
        <v>45807</v>
      </c>
      <c r="I424" s="43">
        <v>20000</v>
      </c>
      <c r="J424" s="38">
        <v>5</v>
      </c>
      <c r="K424" s="39">
        <v>0</v>
      </c>
      <c r="L424" s="54">
        <f>M424*P424</f>
        <v>4000</v>
      </c>
      <c r="M424" s="39">
        <f>(I424-K424)/J424</f>
        <v>4000</v>
      </c>
      <c r="N424" s="39">
        <f>I424-L424</f>
        <v>16000</v>
      </c>
      <c r="O424" s="38"/>
      <c r="P424" s="40">
        <v>1</v>
      </c>
    </row>
    <row r="425" spans="1:16" x14ac:dyDescent="0.25">
      <c r="A425" s="34">
        <v>421</v>
      </c>
      <c r="B425" s="38" t="s">
        <v>579</v>
      </c>
      <c r="C425" s="38">
        <v>1</v>
      </c>
      <c r="D425" s="41" t="s">
        <v>11</v>
      </c>
      <c r="E425" s="38" t="s">
        <v>197</v>
      </c>
      <c r="F425" s="38"/>
      <c r="G425" s="38"/>
      <c r="H425" s="42">
        <v>45808</v>
      </c>
      <c r="I425" s="43">
        <v>36000</v>
      </c>
      <c r="J425" s="38">
        <v>5</v>
      </c>
      <c r="K425" s="54">
        <v>0</v>
      </c>
      <c r="L425" s="54">
        <f>M425*P425</f>
        <v>7200</v>
      </c>
      <c r="M425" s="54">
        <f>(I425-K425)/J425</f>
        <v>7200</v>
      </c>
      <c r="N425" s="54">
        <f>I425-L425</f>
        <v>28800</v>
      </c>
      <c r="O425" s="38"/>
      <c r="P425" s="44">
        <v>1</v>
      </c>
    </row>
    <row r="426" spans="1:16" x14ac:dyDescent="0.25">
      <c r="A426" s="34">
        <v>422</v>
      </c>
      <c r="B426" s="38" t="s">
        <v>580</v>
      </c>
      <c r="C426" s="38">
        <v>1</v>
      </c>
      <c r="D426" s="41" t="s">
        <v>11</v>
      </c>
      <c r="E426" s="38" t="s">
        <v>197</v>
      </c>
      <c r="F426" s="38"/>
      <c r="G426" s="38"/>
      <c r="H426" s="42">
        <v>45808</v>
      </c>
      <c r="I426" s="43">
        <v>16417.5</v>
      </c>
      <c r="J426" s="38">
        <v>5</v>
      </c>
      <c r="K426" s="54">
        <v>0</v>
      </c>
      <c r="L426" s="54">
        <f>M426*P426</f>
        <v>3283.5</v>
      </c>
      <c r="M426" s="54">
        <f>(I426-K426)/J426</f>
        <v>3283.5</v>
      </c>
      <c r="N426" s="54">
        <f>I426-L426</f>
        <v>13134</v>
      </c>
      <c r="O426" s="38"/>
      <c r="P426" s="44">
        <v>1</v>
      </c>
    </row>
    <row r="427" spans="1:16" ht="30" x14ac:dyDescent="0.25">
      <c r="A427" s="34">
        <v>423</v>
      </c>
      <c r="B427" s="41" t="s">
        <v>553</v>
      </c>
      <c r="C427" s="38">
        <v>1</v>
      </c>
      <c r="D427" s="41" t="s">
        <v>9</v>
      </c>
      <c r="E427" s="38" t="s">
        <v>536</v>
      </c>
      <c r="F427" s="38"/>
      <c r="G427" s="38"/>
      <c r="H427" s="42">
        <v>45810</v>
      </c>
      <c r="I427" s="43">
        <v>27959.53</v>
      </c>
      <c r="J427" s="38">
        <v>5</v>
      </c>
      <c r="K427" s="54">
        <v>0</v>
      </c>
      <c r="L427" s="54">
        <f>M427*P427</f>
        <v>5591.9059999999999</v>
      </c>
      <c r="M427" s="54">
        <f>(I427-K427)/J427</f>
        <v>5591.9059999999999</v>
      </c>
      <c r="N427" s="54">
        <f>I427-L427</f>
        <v>22367.624</v>
      </c>
      <c r="O427" s="38"/>
      <c r="P427" s="44">
        <v>1</v>
      </c>
    </row>
    <row r="428" spans="1:16" ht="30" x14ac:dyDescent="0.25">
      <c r="A428" s="34">
        <v>424</v>
      </c>
      <c r="B428" s="41" t="s">
        <v>562</v>
      </c>
      <c r="C428" s="38">
        <v>1</v>
      </c>
      <c r="D428" s="41" t="s">
        <v>11</v>
      </c>
      <c r="E428" s="38" t="s">
        <v>536</v>
      </c>
      <c r="F428" s="38"/>
      <c r="G428" s="38"/>
      <c r="H428" s="42">
        <v>45810</v>
      </c>
      <c r="I428" s="43">
        <v>48500</v>
      </c>
      <c r="J428" s="38">
        <v>5</v>
      </c>
      <c r="K428" s="54">
        <v>0</v>
      </c>
      <c r="L428" s="54">
        <f>M428*P428</f>
        <v>9700</v>
      </c>
      <c r="M428" s="54">
        <f>(I428-K428)/J428</f>
        <v>9700</v>
      </c>
      <c r="N428" s="54">
        <f>I428-L428</f>
        <v>38800</v>
      </c>
      <c r="O428" s="38"/>
      <c r="P428" s="44">
        <v>1</v>
      </c>
    </row>
    <row r="429" spans="1:16" x14ac:dyDescent="0.25">
      <c r="A429" s="34">
        <v>425</v>
      </c>
      <c r="B429" s="38" t="s">
        <v>543</v>
      </c>
      <c r="C429" s="38">
        <v>1</v>
      </c>
      <c r="D429" s="41" t="s">
        <v>8</v>
      </c>
      <c r="E429" s="38" t="s">
        <v>92</v>
      </c>
      <c r="F429" s="38"/>
      <c r="G429" s="38"/>
      <c r="H429" s="42">
        <v>45812</v>
      </c>
      <c r="I429" s="43">
        <v>1233.7</v>
      </c>
      <c r="J429" s="38">
        <v>3</v>
      </c>
      <c r="K429" s="54">
        <v>0</v>
      </c>
      <c r="L429" s="54">
        <f>M429*P429</f>
        <v>411.23333333333335</v>
      </c>
      <c r="M429" s="54">
        <f>(I429-K429)/J429</f>
        <v>411.23333333333335</v>
      </c>
      <c r="N429" s="54">
        <f>I429-L429</f>
        <v>822.4666666666667</v>
      </c>
      <c r="O429" s="38"/>
      <c r="P429" s="44">
        <v>1</v>
      </c>
    </row>
    <row r="430" spans="1:16" x14ac:dyDescent="0.25">
      <c r="A430" s="34">
        <v>426</v>
      </c>
      <c r="B430" s="38" t="s">
        <v>554</v>
      </c>
      <c r="C430" s="38">
        <v>1</v>
      </c>
      <c r="D430" s="41" t="s">
        <v>8</v>
      </c>
      <c r="E430" s="38" t="s">
        <v>555</v>
      </c>
      <c r="F430" s="38"/>
      <c r="G430" s="38">
        <v>19225073</v>
      </c>
      <c r="H430" s="42">
        <v>45819</v>
      </c>
      <c r="I430" s="43">
        <v>1598</v>
      </c>
      <c r="J430" s="38">
        <v>3</v>
      </c>
      <c r="K430" s="54">
        <v>0</v>
      </c>
      <c r="L430" s="54">
        <f>M430*P430</f>
        <v>532.66666666666663</v>
      </c>
      <c r="M430" s="54">
        <f>(I430-K430)/J430</f>
        <v>532.66666666666663</v>
      </c>
      <c r="N430" s="54">
        <f>I430-L430</f>
        <v>1065.3333333333335</v>
      </c>
      <c r="O430" s="38"/>
      <c r="P430" s="44">
        <v>1</v>
      </c>
    </row>
    <row r="431" spans="1:16" ht="30" x14ac:dyDescent="0.25">
      <c r="A431" s="34">
        <v>427</v>
      </c>
      <c r="B431" s="41" t="s">
        <v>558</v>
      </c>
      <c r="C431" s="38">
        <v>1</v>
      </c>
      <c r="D431" s="38" t="s">
        <v>8</v>
      </c>
      <c r="E431" s="38" t="s">
        <v>559</v>
      </c>
      <c r="F431" s="38"/>
      <c r="G431" s="38"/>
      <c r="H431" s="42">
        <v>45824</v>
      </c>
      <c r="I431" s="43">
        <v>6929</v>
      </c>
      <c r="J431" s="38">
        <v>3</v>
      </c>
      <c r="K431" s="54">
        <v>0</v>
      </c>
      <c r="L431" s="54">
        <f>M431*P431</f>
        <v>2309.6666666666665</v>
      </c>
      <c r="M431" s="54">
        <f>(I431-K431)/J431</f>
        <v>2309.6666666666665</v>
      </c>
      <c r="N431" s="54">
        <f>I431-L431</f>
        <v>4619.3333333333339</v>
      </c>
      <c r="O431" s="38"/>
      <c r="P431" s="44">
        <v>1</v>
      </c>
    </row>
    <row r="432" spans="1:16" x14ac:dyDescent="0.25">
      <c r="A432" s="34">
        <v>428</v>
      </c>
      <c r="B432" s="38" t="s">
        <v>556</v>
      </c>
      <c r="C432" s="38">
        <v>1</v>
      </c>
      <c r="D432" s="41" t="s">
        <v>11</v>
      </c>
      <c r="E432" s="38" t="s">
        <v>557</v>
      </c>
      <c r="F432" s="38"/>
      <c r="G432" s="38"/>
      <c r="H432" s="42">
        <v>45826</v>
      </c>
      <c r="I432" s="43">
        <v>1271.82</v>
      </c>
      <c r="J432" s="38">
        <v>3</v>
      </c>
      <c r="K432" s="54">
        <v>0</v>
      </c>
      <c r="L432" s="54">
        <f>M432*P432</f>
        <v>423.94</v>
      </c>
      <c r="M432" s="54">
        <f>(I432-K432)/J432</f>
        <v>423.94</v>
      </c>
      <c r="N432" s="54">
        <f>I432-L432</f>
        <v>847.87999999999988</v>
      </c>
      <c r="O432" s="38"/>
      <c r="P432" s="44">
        <v>1</v>
      </c>
    </row>
    <row r="433" spans="1:16" x14ac:dyDescent="0.25">
      <c r="A433" s="34">
        <v>429</v>
      </c>
      <c r="B433" s="38" t="s">
        <v>571</v>
      </c>
      <c r="C433" s="38">
        <v>1</v>
      </c>
      <c r="D433" s="41" t="s">
        <v>12</v>
      </c>
      <c r="E433" s="38" t="s">
        <v>125</v>
      </c>
      <c r="F433" s="38"/>
      <c r="G433" s="38" t="s">
        <v>572</v>
      </c>
      <c r="H433" s="42">
        <v>45826</v>
      </c>
      <c r="I433" s="43">
        <v>10170</v>
      </c>
      <c r="J433" s="38">
        <v>5</v>
      </c>
      <c r="K433" s="54">
        <v>0</v>
      </c>
      <c r="L433" s="54">
        <f>M433*P433</f>
        <v>2034</v>
      </c>
      <c r="M433" s="54">
        <f>(I433-K433)/J433</f>
        <v>2034</v>
      </c>
      <c r="N433" s="54">
        <f>I433-L433</f>
        <v>8136</v>
      </c>
      <c r="O433" s="38"/>
      <c r="P433" s="44">
        <v>1</v>
      </c>
    </row>
    <row r="434" spans="1:16" x14ac:dyDescent="0.25">
      <c r="A434" s="34">
        <v>430</v>
      </c>
      <c r="B434" s="38" t="s">
        <v>570</v>
      </c>
      <c r="C434" s="38">
        <v>1</v>
      </c>
      <c r="D434" s="41" t="s">
        <v>12</v>
      </c>
      <c r="E434" s="38" t="s">
        <v>125</v>
      </c>
      <c r="F434" s="38"/>
      <c r="G434" s="38"/>
      <c r="H434" s="42">
        <v>45827</v>
      </c>
      <c r="I434" s="43">
        <v>8799</v>
      </c>
      <c r="J434" s="38">
        <v>5</v>
      </c>
      <c r="K434" s="54">
        <v>0</v>
      </c>
      <c r="L434" s="54">
        <f>M434*P434</f>
        <v>1759.8</v>
      </c>
      <c r="M434" s="54">
        <f>(I434-K434)/J434</f>
        <v>1759.8</v>
      </c>
      <c r="N434" s="54">
        <f>I434-L434</f>
        <v>7039.2</v>
      </c>
      <c r="O434" s="38"/>
      <c r="P434" s="44">
        <v>1</v>
      </c>
    </row>
    <row r="435" spans="1:16" x14ac:dyDescent="0.25">
      <c r="A435" s="34">
        <v>431</v>
      </c>
      <c r="B435" s="38" t="s">
        <v>566</v>
      </c>
      <c r="C435" s="38">
        <v>5</v>
      </c>
      <c r="D435" s="41" t="s">
        <v>567</v>
      </c>
      <c r="E435" s="38" t="s">
        <v>568</v>
      </c>
      <c r="F435" s="38"/>
      <c r="G435" s="38"/>
      <c r="H435" s="42">
        <v>45828</v>
      </c>
      <c r="I435" s="43">
        <v>4497.95</v>
      </c>
      <c r="J435" s="38">
        <v>5</v>
      </c>
      <c r="K435" s="54">
        <v>0</v>
      </c>
      <c r="L435" s="54">
        <f>M435*P435</f>
        <v>899.58999999999992</v>
      </c>
      <c r="M435" s="54">
        <f>(I435-K435)/J435</f>
        <v>899.58999999999992</v>
      </c>
      <c r="N435" s="54">
        <f>I435-L435</f>
        <v>3598.3599999999997</v>
      </c>
      <c r="O435" s="38"/>
      <c r="P435" s="44">
        <v>1</v>
      </c>
    </row>
    <row r="436" spans="1:16" x14ac:dyDescent="0.25">
      <c r="A436" s="34">
        <v>432</v>
      </c>
      <c r="B436" s="38" t="s">
        <v>563</v>
      </c>
      <c r="C436" s="38">
        <v>1</v>
      </c>
      <c r="D436" s="41" t="s">
        <v>8</v>
      </c>
      <c r="E436" s="38" t="s">
        <v>92</v>
      </c>
      <c r="F436" s="38"/>
      <c r="G436" s="38"/>
      <c r="H436" s="42">
        <v>45832</v>
      </c>
      <c r="I436" s="43">
        <v>2354.5500000000002</v>
      </c>
      <c r="J436" s="38">
        <v>3</v>
      </c>
      <c r="K436" s="54">
        <v>0</v>
      </c>
      <c r="L436" s="54">
        <f>M436*P436</f>
        <v>784.85</v>
      </c>
      <c r="M436" s="54">
        <f>(I436-K436)/J436</f>
        <v>784.85</v>
      </c>
      <c r="N436" s="54">
        <f>I436-L436</f>
        <v>1569.7000000000003</v>
      </c>
      <c r="O436" s="38"/>
      <c r="P436" s="44">
        <v>1</v>
      </c>
    </row>
    <row r="437" spans="1:16" x14ac:dyDescent="0.25">
      <c r="A437" s="34">
        <v>433</v>
      </c>
      <c r="B437" s="38" t="s">
        <v>36</v>
      </c>
      <c r="C437" s="38">
        <v>200</v>
      </c>
      <c r="D437" s="41" t="s">
        <v>11</v>
      </c>
      <c r="E437" s="38" t="s">
        <v>35</v>
      </c>
      <c r="F437" s="38"/>
      <c r="G437" s="38"/>
      <c r="H437" s="42">
        <v>45838</v>
      </c>
      <c r="I437" s="43">
        <v>69750</v>
      </c>
      <c r="J437" s="38">
        <v>7</v>
      </c>
      <c r="K437" s="54">
        <v>0</v>
      </c>
      <c r="L437" s="54">
        <f>M437*P437</f>
        <v>9964.2857142857138</v>
      </c>
      <c r="M437" s="54">
        <f>(I437-K437)/J437</f>
        <v>9964.2857142857138</v>
      </c>
      <c r="N437" s="54">
        <f>I437-L437</f>
        <v>59785.71428571429</v>
      </c>
      <c r="O437" s="38"/>
      <c r="P437" s="44">
        <v>1</v>
      </c>
    </row>
    <row r="438" spans="1:16" ht="45" x14ac:dyDescent="0.25">
      <c r="A438" s="34">
        <v>434</v>
      </c>
      <c r="B438" s="41" t="s">
        <v>569</v>
      </c>
      <c r="C438" s="38">
        <v>1</v>
      </c>
      <c r="D438" s="41" t="s">
        <v>12</v>
      </c>
      <c r="E438" s="38" t="s">
        <v>125</v>
      </c>
      <c r="F438" s="38"/>
      <c r="G438" s="38"/>
      <c r="H438" s="42">
        <v>45845</v>
      </c>
      <c r="I438" s="43">
        <v>32984</v>
      </c>
      <c r="J438" s="38">
        <v>5</v>
      </c>
      <c r="K438" s="54">
        <v>0</v>
      </c>
      <c r="L438" s="54">
        <f>M438*P438</f>
        <v>6596.8</v>
      </c>
      <c r="M438" s="54">
        <f>(I438-K438)/J438</f>
        <v>6596.8</v>
      </c>
      <c r="N438" s="54">
        <f>I438-L438</f>
        <v>26387.200000000001</v>
      </c>
      <c r="O438" s="38"/>
      <c r="P438" s="44">
        <v>1</v>
      </c>
    </row>
    <row r="439" spans="1:16" ht="30" x14ac:dyDescent="0.25">
      <c r="A439" s="34">
        <v>435</v>
      </c>
      <c r="B439" s="41" t="s">
        <v>573</v>
      </c>
      <c r="C439" s="38">
        <v>1</v>
      </c>
      <c r="D439" s="41" t="s">
        <v>8</v>
      </c>
      <c r="E439" s="38" t="s">
        <v>92</v>
      </c>
      <c r="F439" s="38"/>
      <c r="G439" s="38"/>
      <c r="H439" s="90">
        <v>45852</v>
      </c>
      <c r="I439" s="43">
        <v>2338.1799999999998</v>
      </c>
      <c r="J439" s="38">
        <v>3</v>
      </c>
      <c r="K439" s="54">
        <v>0</v>
      </c>
      <c r="L439" s="54">
        <f>M439*P439</f>
        <v>779.39333333333332</v>
      </c>
      <c r="M439" s="54">
        <f>(I439-K439)/J439</f>
        <v>779.39333333333332</v>
      </c>
      <c r="N439" s="54">
        <f>I439-L439</f>
        <v>1558.7866666666664</v>
      </c>
      <c r="O439" s="38"/>
      <c r="P439" s="44">
        <v>1</v>
      </c>
    </row>
    <row r="440" spans="1:16" x14ac:dyDescent="0.25">
      <c r="A440" s="34">
        <v>436</v>
      </c>
      <c r="B440" s="38" t="s">
        <v>575</v>
      </c>
      <c r="C440" s="38">
        <v>1</v>
      </c>
      <c r="D440" s="41" t="s">
        <v>8</v>
      </c>
      <c r="E440" s="38" t="s">
        <v>559</v>
      </c>
      <c r="F440" s="38"/>
      <c r="G440" s="38"/>
      <c r="H440" s="42">
        <v>45867</v>
      </c>
      <c r="I440" s="43">
        <v>3921</v>
      </c>
      <c r="J440" s="38">
        <v>3</v>
      </c>
      <c r="K440" s="54">
        <v>0</v>
      </c>
      <c r="L440" s="54">
        <f>M440*P440</f>
        <v>1307</v>
      </c>
      <c r="M440" s="54">
        <f>(I440-K440)/J440</f>
        <v>1307</v>
      </c>
      <c r="N440" s="54">
        <f>I440-L440</f>
        <v>2614</v>
      </c>
      <c r="O440" s="38"/>
      <c r="P440" s="44">
        <v>1</v>
      </c>
    </row>
    <row r="441" spans="1:16" x14ac:dyDescent="0.25">
      <c r="A441" s="34">
        <v>437</v>
      </c>
      <c r="B441" s="38" t="s">
        <v>574</v>
      </c>
      <c r="C441" s="38">
        <v>1</v>
      </c>
      <c r="D441" s="41" t="s">
        <v>8</v>
      </c>
      <c r="E441" s="38" t="s">
        <v>559</v>
      </c>
      <c r="F441" s="38"/>
      <c r="G441" s="38"/>
      <c r="H441" s="42">
        <v>45868</v>
      </c>
      <c r="I441" s="43">
        <v>1442.87</v>
      </c>
      <c r="J441" s="38">
        <v>3</v>
      </c>
      <c r="K441" s="54">
        <v>0</v>
      </c>
      <c r="L441" s="54">
        <f>M441*P441</f>
        <v>480.95666666666665</v>
      </c>
      <c r="M441" s="54">
        <f>(I441-K441)/J441</f>
        <v>480.95666666666665</v>
      </c>
      <c r="N441" s="54">
        <f>I441-L441</f>
        <v>961.91333333333318</v>
      </c>
      <c r="O441" s="38"/>
      <c r="P441" s="44">
        <v>1</v>
      </c>
    </row>
    <row r="442" spans="1:16" x14ac:dyDescent="0.25">
      <c r="A442" s="34">
        <v>438</v>
      </c>
      <c r="B442" s="38"/>
      <c r="C442" s="38"/>
      <c r="D442" s="41"/>
      <c r="E442" s="38"/>
      <c r="F442" s="38"/>
      <c r="G442" s="38"/>
      <c r="H442" s="42"/>
      <c r="I442" s="43"/>
      <c r="J442" s="38"/>
      <c r="K442" s="54"/>
      <c r="L442" s="54"/>
      <c r="M442" s="54"/>
      <c r="N442" s="54"/>
      <c r="O442" s="38"/>
      <c r="P442" s="44"/>
    </row>
    <row r="443" spans="1:16" x14ac:dyDescent="0.25">
      <c r="A443" s="34">
        <v>439</v>
      </c>
      <c r="B443" s="38"/>
      <c r="C443" s="38"/>
      <c r="D443" s="41"/>
      <c r="E443" s="38"/>
      <c r="F443" s="38"/>
      <c r="G443" s="38"/>
      <c r="H443" s="42"/>
      <c r="I443" s="43"/>
      <c r="J443" s="38"/>
      <c r="K443" s="54"/>
      <c r="L443" s="54"/>
      <c r="M443" s="54"/>
      <c r="N443" s="54"/>
      <c r="O443" s="38"/>
      <c r="P443" s="44"/>
    </row>
    <row r="444" spans="1:16" x14ac:dyDescent="0.25">
      <c r="A444" s="34">
        <v>440</v>
      </c>
      <c r="B444" s="38"/>
      <c r="C444" s="38"/>
      <c r="D444" s="41"/>
      <c r="E444" s="38"/>
      <c r="F444" s="38"/>
      <c r="G444" s="38"/>
      <c r="H444" s="42"/>
      <c r="I444" s="43"/>
      <c r="J444" s="38"/>
      <c r="K444" s="54"/>
      <c r="L444" s="54"/>
      <c r="M444" s="54"/>
      <c r="N444" s="54"/>
      <c r="O444" s="38"/>
      <c r="P444" s="44"/>
    </row>
    <row r="445" spans="1:16" x14ac:dyDescent="0.25">
      <c r="A445" s="34">
        <v>441</v>
      </c>
      <c r="B445" s="38"/>
      <c r="C445" s="38"/>
      <c r="D445" s="41"/>
      <c r="E445" s="38"/>
      <c r="F445" s="38"/>
      <c r="G445" s="38"/>
      <c r="H445" s="42"/>
      <c r="I445" s="43"/>
      <c r="J445" s="38"/>
      <c r="K445" s="54"/>
      <c r="L445" s="54"/>
      <c r="M445" s="54"/>
      <c r="N445" s="54"/>
      <c r="O445" s="38"/>
      <c r="P445" s="44"/>
    </row>
    <row r="446" spans="1:16" x14ac:dyDescent="0.25">
      <c r="A446" s="34">
        <v>442</v>
      </c>
      <c r="B446" s="38"/>
      <c r="C446" s="38"/>
      <c r="D446" s="41"/>
      <c r="E446" s="38"/>
      <c r="F446" s="38"/>
      <c r="G446" s="38"/>
      <c r="H446" s="42"/>
      <c r="I446" s="43"/>
      <c r="J446" s="38"/>
      <c r="K446" s="54"/>
      <c r="L446" s="54"/>
      <c r="M446" s="54"/>
      <c r="N446" s="54"/>
      <c r="O446" s="38"/>
      <c r="P446" s="44"/>
    </row>
    <row r="447" spans="1:16" x14ac:dyDescent="0.25">
      <c r="A447" s="58"/>
      <c r="B447" s="59"/>
      <c r="C447" s="59">
        <f>SUM(C7:C446)</f>
        <v>5810</v>
      </c>
      <c r="D447" s="60"/>
      <c r="E447" s="59"/>
      <c r="F447" s="59"/>
      <c r="G447" s="59"/>
      <c r="H447" s="61"/>
      <c r="I447" s="68">
        <f>SUM(I7:I441)</f>
        <v>7888862.8499999996</v>
      </c>
      <c r="J447" s="63"/>
      <c r="K447" s="63"/>
      <c r="L447" s="62">
        <f>SUM(L7:L441)</f>
        <v>2464100.0808666684</v>
      </c>
      <c r="M447" s="62">
        <f>SUM(M7:M441)</f>
        <v>1308332.7124476205</v>
      </c>
      <c r="N447" s="62">
        <f>SUM(N7:N441)</f>
        <v>5380073.1691333381</v>
      </c>
      <c r="O447" s="64"/>
      <c r="P447" s="65">
        <v>0</v>
      </c>
    </row>
    <row r="448" spans="1:16" ht="15.75" x14ac:dyDescent="0.25">
      <c r="L448" s="53"/>
      <c r="M448" s="53"/>
      <c r="N448" s="67"/>
      <c r="O448" s="80"/>
    </row>
  </sheetData>
  <autoFilter ref="B6:P448" xr:uid="{587B8612-A0C0-473F-897C-841FE1AFAACB}">
    <sortState xmlns:xlrd2="http://schemas.microsoft.com/office/spreadsheetml/2017/richdata2" ref="B7:P448">
      <sortCondition ref="H6:H448"/>
    </sortState>
  </autoFilter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6945-C40A-4BDC-83F6-EA3F2F21966A}">
  <dimension ref="A1:E13"/>
  <sheetViews>
    <sheetView workbookViewId="0">
      <selection activeCell="B19" sqref="B19"/>
    </sheetView>
  </sheetViews>
  <sheetFormatPr defaultRowHeight="15" x14ac:dyDescent="0.25"/>
  <cols>
    <col min="1" max="1" width="31" bestFit="1" customWidth="1"/>
    <col min="2" max="2" width="22.28515625" bestFit="1" customWidth="1"/>
    <col min="3" max="3" width="22.85546875" bestFit="1" customWidth="1"/>
    <col min="4" max="4" width="37.140625" bestFit="1" customWidth="1"/>
    <col min="5" max="5" width="17.85546875" bestFit="1" customWidth="1"/>
  </cols>
  <sheetData>
    <row r="1" spans="1:5" x14ac:dyDescent="0.25">
      <c r="A1" s="20" t="s">
        <v>0</v>
      </c>
      <c r="B1" t="s">
        <v>1</v>
      </c>
    </row>
    <row r="3" spans="1:5" x14ac:dyDescent="0.25">
      <c r="A3" s="20" t="s">
        <v>2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s="21" t="s">
        <v>7</v>
      </c>
      <c r="B4" s="22">
        <v>116049</v>
      </c>
      <c r="C4" s="22">
        <v>96916.92</v>
      </c>
      <c r="D4" s="22">
        <v>18358.440000000002</v>
      </c>
      <c r="E4" s="22">
        <v>19132.080000000002</v>
      </c>
    </row>
    <row r="5" spans="1:5" x14ac:dyDescent="0.25">
      <c r="A5" s="21" t="s">
        <v>8</v>
      </c>
      <c r="B5" s="22">
        <v>120281.26999999996</v>
      </c>
      <c r="C5" s="22">
        <v>66315.441666666651</v>
      </c>
      <c r="D5" s="22">
        <v>37531.510833333326</v>
      </c>
      <c r="E5" s="22">
        <v>52290.028333333343</v>
      </c>
    </row>
    <row r="6" spans="1:5" x14ac:dyDescent="0.25">
      <c r="A6" s="21" t="s">
        <v>9</v>
      </c>
      <c r="B6" s="22">
        <v>1800921.57</v>
      </c>
      <c r="C6" s="22">
        <v>366599.96674285713</v>
      </c>
      <c r="D6" s="22">
        <v>256908.99958095234</v>
      </c>
      <c r="E6" s="22">
        <v>1409321.6032571429</v>
      </c>
    </row>
    <row r="7" spans="1:5" x14ac:dyDescent="0.25">
      <c r="A7" s="21" t="s">
        <v>10</v>
      </c>
      <c r="B7" s="22">
        <v>1513616.09</v>
      </c>
      <c r="C7" s="22">
        <v>652268.15367142856</v>
      </c>
      <c r="D7" s="22">
        <v>198186.61191428575</v>
      </c>
      <c r="E7" s="22">
        <v>861347.93632857152</v>
      </c>
    </row>
    <row r="8" spans="1:5" x14ac:dyDescent="0.25">
      <c r="A8" s="21" t="s">
        <v>11</v>
      </c>
      <c r="B8" s="22">
        <v>4152156.6000000006</v>
      </c>
      <c r="C8" s="22">
        <v>1228148.278119049</v>
      </c>
      <c r="D8" s="22">
        <v>770870.64945238095</v>
      </c>
      <c r="E8" s="22">
        <v>2900393.3218809525</v>
      </c>
    </row>
    <row r="9" spans="1:5" x14ac:dyDescent="0.25">
      <c r="A9" s="21" t="s">
        <v>12</v>
      </c>
      <c r="B9" s="22">
        <v>175392.37</v>
      </c>
      <c r="C9" s="22">
        <v>50969.064000000013</v>
      </c>
      <c r="D9" s="22">
        <v>23594.243999999999</v>
      </c>
      <c r="E9" s="22">
        <v>130024.50599999998</v>
      </c>
    </row>
    <row r="10" spans="1:5" x14ac:dyDescent="0.25">
      <c r="A10" s="21" t="s">
        <v>449</v>
      </c>
      <c r="B10" s="22">
        <v>1297</v>
      </c>
      <c r="C10" s="22">
        <v>432.33333333333331</v>
      </c>
      <c r="D10" s="22">
        <v>432.33333333333331</v>
      </c>
      <c r="E10" s="22">
        <v>864.66666666666674</v>
      </c>
    </row>
    <row r="11" spans="1:5" x14ac:dyDescent="0.25">
      <c r="A11" s="21" t="s">
        <v>461</v>
      </c>
      <c r="B11" s="22">
        <v>4651</v>
      </c>
      <c r="C11" s="22">
        <v>1550.3333333333335</v>
      </c>
      <c r="D11" s="22">
        <v>1550.3333333333335</v>
      </c>
      <c r="E11" s="22">
        <v>3100.6666666666665</v>
      </c>
    </row>
    <row r="12" spans="1:5" x14ac:dyDescent="0.25">
      <c r="A12" s="21" t="s">
        <v>567</v>
      </c>
      <c r="B12" s="22">
        <v>4497.95</v>
      </c>
      <c r="C12" s="22">
        <v>899.58999999999992</v>
      </c>
      <c r="D12" s="22">
        <v>899.58999999999992</v>
      </c>
      <c r="E12" s="22">
        <v>3598.3599999999997</v>
      </c>
    </row>
    <row r="13" spans="1:5" x14ac:dyDescent="0.25">
      <c r="A13" s="21" t="s">
        <v>13</v>
      </c>
      <c r="B13" s="22">
        <v>7888862.8500000015</v>
      </c>
      <c r="C13" s="22">
        <v>2464100.0808666684</v>
      </c>
      <c r="D13" s="22">
        <v>1308332.7124476188</v>
      </c>
      <c r="E13" s="22">
        <v>5380073.1691333344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174B-C694-40D6-BE57-095F148C4973}">
  <dimension ref="A3:C13"/>
  <sheetViews>
    <sheetView tabSelected="1" workbookViewId="0">
      <selection activeCell="E26" sqref="E26"/>
    </sheetView>
  </sheetViews>
  <sheetFormatPr defaultRowHeight="15" x14ac:dyDescent="0.25"/>
  <cols>
    <col min="1" max="1" width="31" bestFit="1" customWidth="1"/>
    <col min="2" max="2" width="22.28515625" bestFit="1" customWidth="1"/>
    <col min="3" max="3" width="17.85546875" bestFit="1" customWidth="1"/>
  </cols>
  <sheetData>
    <row r="3" spans="1:3" x14ac:dyDescent="0.25">
      <c r="A3" s="20" t="s">
        <v>2</v>
      </c>
      <c r="B3" t="s">
        <v>3</v>
      </c>
      <c r="C3" t="s">
        <v>6</v>
      </c>
    </row>
    <row r="4" spans="1:3" x14ac:dyDescent="0.25">
      <c r="A4" s="21" t="s">
        <v>7</v>
      </c>
      <c r="B4" s="22">
        <v>21007</v>
      </c>
      <c r="C4" s="22">
        <v>17735.580000000002</v>
      </c>
    </row>
    <row r="5" spans="1:3" x14ac:dyDescent="0.25">
      <c r="A5" s="21" t="s">
        <v>8</v>
      </c>
      <c r="B5" s="22">
        <v>54053.840000000004</v>
      </c>
      <c r="C5" s="22">
        <v>36217.06</v>
      </c>
    </row>
    <row r="6" spans="1:3" x14ac:dyDescent="0.25">
      <c r="A6" s="21" t="s">
        <v>9</v>
      </c>
      <c r="B6" s="22">
        <v>1466429.91</v>
      </c>
      <c r="C6" s="22">
        <v>1269708.743</v>
      </c>
    </row>
    <row r="7" spans="1:3" x14ac:dyDescent="0.25">
      <c r="A7" s="21" t="s">
        <v>10</v>
      </c>
      <c r="B7" s="22">
        <v>86814</v>
      </c>
      <c r="C7" s="22">
        <v>71287</v>
      </c>
    </row>
    <row r="8" spans="1:3" x14ac:dyDescent="0.25">
      <c r="A8" s="21" t="s">
        <v>11</v>
      </c>
      <c r="B8" s="22">
        <v>2132208.63</v>
      </c>
      <c r="C8" s="22">
        <v>1742673.2085476189</v>
      </c>
    </row>
    <row r="9" spans="1:3" x14ac:dyDescent="0.25">
      <c r="A9" s="21" t="s">
        <v>12</v>
      </c>
      <c r="B9" s="22">
        <v>74004.149999999994</v>
      </c>
      <c r="C9" s="22">
        <v>59534.846000000005</v>
      </c>
    </row>
    <row r="10" spans="1:3" x14ac:dyDescent="0.25">
      <c r="A10" s="21" t="s">
        <v>449</v>
      </c>
      <c r="B10" s="22">
        <v>1297</v>
      </c>
      <c r="C10" s="22">
        <v>864.66666666666674</v>
      </c>
    </row>
    <row r="11" spans="1:3" x14ac:dyDescent="0.25">
      <c r="A11" s="21" t="s">
        <v>461</v>
      </c>
      <c r="B11" s="22">
        <v>4651</v>
      </c>
      <c r="C11" s="22">
        <v>3100.6666666666665</v>
      </c>
    </row>
    <row r="12" spans="1:3" x14ac:dyDescent="0.25">
      <c r="A12" s="21" t="s">
        <v>567</v>
      </c>
      <c r="B12" s="22">
        <v>4497.95</v>
      </c>
      <c r="C12" s="22">
        <v>3598.3599999999997</v>
      </c>
    </row>
    <row r="13" spans="1:3" x14ac:dyDescent="0.25">
      <c r="A13" s="21" t="s">
        <v>13</v>
      </c>
      <c r="B13" s="22">
        <v>3844963.48</v>
      </c>
      <c r="C13" s="22">
        <v>3204720.1308809514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64C4-7561-4D8D-8CFC-C86C4A1BF5F4}">
  <dimension ref="A1:R193"/>
  <sheetViews>
    <sheetView zoomScale="90" zoomScaleNormal="90" workbookViewId="0">
      <pane ySplit="6" topLeftCell="A176" activePane="bottomLeft" state="frozen"/>
      <selection pane="bottomLeft" activeCell="E2" sqref="E2"/>
    </sheetView>
  </sheetViews>
  <sheetFormatPr defaultColWidth="8.85546875" defaultRowHeight="15" x14ac:dyDescent="0.25"/>
  <cols>
    <col min="1" max="1" width="6.7109375" style="31" customWidth="1"/>
    <col min="2" max="2" width="79.85546875" style="31" bestFit="1" customWidth="1"/>
    <col min="3" max="3" width="11.7109375" style="31" customWidth="1"/>
    <col min="4" max="4" width="21.7109375" style="52" customWidth="1"/>
    <col min="5" max="5" width="49.28515625" style="31" bestFit="1" customWidth="1"/>
    <col min="6" max="6" width="14.42578125" style="31" customWidth="1"/>
    <col min="7" max="7" width="45" style="31" customWidth="1"/>
    <col min="8" max="8" width="13.42578125" style="45" customWidth="1"/>
    <col min="9" max="9" width="14.42578125" style="67" customWidth="1"/>
    <col min="10" max="10" width="10.5703125" style="31" customWidth="1"/>
    <col min="11" max="11" width="13.42578125" style="53" customWidth="1"/>
    <col min="12" max="12" width="18.28515625" style="31" customWidth="1"/>
    <col min="13" max="13" width="15.7109375" style="31" customWidth="1"/>
    <col min="14" max="14" width="15.5703125" style="31" customWidth="1"/>
    <col min="15" max="15" width="25.5703125" style="48" customWidth="1"/>
    <col min="16" max="16" width="12" style="48" customWidth="1"/>
    <col min="17" max="16384" width="8.85546875" style="31"/>
  </cols>
  <sheetData>
    <row r="1" spans="1:16" x14ac:dyDescent="0.25">
      <c r="D1" s="31"/>
      <c r="H1" s="31"/>
      <c r="O1" s="31"/>
    </row>
    <row r="2" spans="1:16" ht="21" x14ac:dyDescent="0.35">
      <c r="B2" s="32" t="s">
        <v>14</v>
      </c>
      <c r="D2" s="31"/>
      <c r="H2" s="31"/>
      <c r="O2" s="31"/>
    </row>
    <row r="3" spans="1:16" x14ac:dyDescent="0.25">
      <c r="B3" s="33"/>
      <c r="D3" s="31"/>
      <c r="H3" s="31"/>
      <c r="O3" s="31"/>
    </row>
    <row r="4" spans="1:16" x14ac:dyDescent="0.25">
      <c r="D4" s="31"/>
      <c r="H4" s="31"/>
      <c r="O4" s="31"/>
    </row>
    <row r="5" spans="1:16" ht="15.75" thickBot="1" x14ac:dyDescent="0.3">
      <c r="D5" s="31"/>
      <c r="H5" s="31"/>
      <c r="O5" s="31"/>
    </row>
    <row r="6" spans="1:16" ht="46.5" thickTop="1" thickBot="1" x14ac:dyDescent="0.3">
      <c r="A6" s="69" t="s">
        <v>15</v>
      </c>
      <c r="B6" s="69" t="s">
        <v>16</v>
      </c>
      <c r="C6" s="69" t="s">
        <v>17</v>
      </c>
      <c r="D6" s="69" t="s">
        <v>18</v>
      </c>
      <c r="E6" s="69" t="s">
        <v>19</v>
      </c>
      <c r="F6" s="69" t="s">
        <v>20</v>
      </c>
      <c r="G6" s="69" t="s">
        <v>21</v>
      </c>
      <c r="H6" s="69" t="s">
        <v>0</v>
      </c>
      <c r="I6" s="69" t="s">
        <v>22</v>
      </c>
      <c r="J6" s="69" t="s">
        <v>23</v>
      </c>
      <c r="K6" s="69" t="s">
        <v>24</v>
      </c>
      <c r="L6" s="69" t="s">
        <v>25</v>
      </c>
      <c r="M6" s="69" t="s">
        <v>26</v>
      </c>
      <c r="N6" s="69" t="s">
        <v>27</v>
      </c>
      <c r="O6" s="69" t="s">
        <v>28</v>
      </c>
      <c r="P6" s="69" t="s">
        <v>29</v>
      </c>
    </row>
    <row r="7" spans="1:16" ht="15.75" thickTop="1" x14ac:dyDescent="0.25">
      <c r="A7" s="34">
        <v>251</v>
      </c>
      <c r="B7" s="38" t="s">
        <v>322</v>
      </c>
      <c r="C7" s="38">
        <v>4</v>
      </c>
      <c r="D7" s="38" t="s">
        <v>11</v>
      </c>
      <c r="E7" s="38" t="s">
        <v>125</v>
      </c>
      <c r="F7" s="38"/>
      <c r="G7" s="38"/>
      <c r="H7" s="42">
        <v>45477</v>
      </c>
      <c r="I7" s="43">
        <v>2780</v>
      </c>
      <c r="J7" s="38">
        <v>5</v>
      </c>
      <c r="K7" s="39">
        <v>0</v>
      </c>
      <c r="L7" s="54">
        <f>M7*P7</f>
        <v>556</v>
      </c>
      <c r="M7" s="39">
        <f>(I7-K7)/J7</f>
        <v>556</v>
      </c>
      <c r="N7" s="39">
        <f>I7-L7</f>
        <v>2224</v>
      </c>
      <c r="O7" s="38">
        <v>695</v>
      </c>
      <c r="P7" s="40">
        <v>1</v>
      </c>
    </row>
    <row r="8" spans="1:16" x14ac:dyDescent="0.25">
      <c r="A8" s="34">
        <v>252</v>
      </c>
      <c r="B8" s="38" t="s">
        <v>138</v>
      </c>
      <c r="C8" s="38">
        <v>4</v>
      </c>
      <c r="D8" s="38" t="s">
        <v>11</v>
      </c>
      <c r="E8" s="38" t="s">
        <v>135</v>
      </c>
      <c r="F8" s="38"/>
      <c r="G8" s="38"/>
      <c r="H8" s="42">
        <v>45477</v>
      </c>
      <c r="I8" s="43">
        <v>2320</v>
      </c>
      <c r="J8" s="38">
        <v>5</v>
      </c>
      <c r="K8" s="39">
        <v>0</v>
      </c>
      <c r="L8" s="54">
        <f>M8*P8</f>
        <v>464</v>
      </c>
      <c r="M8" s="39">
        <f>(I8-K8)/J8</f>
        <v>464</v>
      </c>
      <c r="N8" s="39">
        <f>I8-L8</f>
        <v>1856</v>
      </c>
      <c r="O8" s="38" t="s">
        <v>245</v>
      </c>
      <c r="P8" s="40">
        <v>1</v>
      </c>
    </row>
    <row r="9" spans="1:16" x14ac:dyDescent="0.25">
      <c r="A9" s="34">
        <v>253</v>
      </c>
      <c r="B9" s="38" t="s">
        <v>321</v>
      </c>
      <c r="C9" s="38">
        <v>1</v>
      </c>
      <c r="D9" s="38" t="s">
        <v>9</v>
      </c>
      <c r="E9" s="38" t="s">
        <v>201</v>
      </c>
      <c r="F9" s="38"/>
      <c r="G9" s="38"/>
      <c r="H9" s="42">
        <v>45478</v>
      </c>
      <c r="I9" s="43">
        <v>1999</v>
      </c>
      <c r="J9" s="38">
        <v>5</v>
      </c>
      <c r="K9" s="39">
        <v>0</v>
      </c>
      <c r="L9" s="54">
        <f>M9*P9</f>
        <v>399.8</v>
      </c>
      <c r="M9" s="39">
        <f>(I9-K9)/J9</f>
        <v>399.8</v>
      </c>
      <c r="N9" s="39">
        <f>I9-L9</f>
        <v>1599.2</v>
      </c>
      <c r="O9" s="38"/>
      <c r="P9" s="40">
        <v>1</v>
      </c>
    </row>
    <row r="10" spans="1:16" x14ac:dyDescent="0.25">
      <c r="A10" s="34">
        <v>254</v>
      </c>
      <c r="B10" s="38" t="s">
        <v>319</v>
      </c>
      <c r="C10" s="38">
        <v>2</v>
      </c>
      <c r="D10" s="38" t="s">
        <v>11</v>
      </c>
      <c r="E10" s="38" t="s">
        <v>267</v>
      </c>
      <c r="F10" s="38"/>
      <c r="G10" s="38"/>
      <c r="H10" s="42">
        <v>45481</v>
      </c>
      <c r="I10" s="43">
        <v>4800</v>
      </c>
      <c r="J10" s="38">
        <v>5</v>
      </c>
      <c r="K10" s="39">
        <v>0</v>
      </c>
      <c r="L10" s="54">
        <f>M10*P10</f>
        <v>960</v>
      </c>
      <c r="M10" s="39">
        <f>(I10-K10)/J10</f>
        <v>960</v>
      </c>
      <c r="N10" s="39">
        <f>I10-L10</f>
        <v>3840</v>
      </c>
      <c r="O10" s="38" t="s">
        <v>320</v>
      </c>
      <c r="P10" s="40">
        <v>1</v>
      </c>
    </row>
    <row r="11" spans="1:16" ht="30" x14ac:dyDescent="0.25">
      <c r="A11" s="34">
        <v>255</v>
      </c>
      <c r="B11" s="41" t="s">
        <v>323</v>
      </c>
      <c r="C11" s="38">
        <v>1</v>
      </c>
      <c r="D11" s="38" t="s">
        <v>11</v>
      </c>
      <c r="E11" s="38" t="s">
        <v>201</v>
      </c>
      <c r="F11" s="38"/>
      <c r="G11" s="38"/>
      <c r="H11" s="42">
        <v>45483</v>
      </c>
      <c r="I11" s="43">
        <v>4645.28</v>
      </c>
      <c r="J11" s="38">
        <v>5</v>
      </c>
      <c r="K11" s="39">
        <v>0</v>
      </c>
      <c r="L11" s="54">
        <f>M11*P11</f>
        <v>929.05599999999993</v>
      </c>
      <c r="M11" s="39">
        <f>(I11-K11)/J11</f>
        <v>929.05599999999993</v>
      </c>
      <c r="N11" s="39">
        <f>I11-L11</f>
        <v>3716.2239999999997</v>
      </c>
      <c r="O11" s="38"/>
      <c r="P11" s="40">
        <v>1</v>
      </c>
    </row>
    <row r="12" spans="1:16" ht="30" x14ac:dyDescent="0.25">
      <c r="A12" s="34">
        <v>256</v>
      </c>
      <c r="B12" s="41" t="s">
        <v>324</v>
      </c>
      <c r="C12" s="38">
        <v>1</v>
      </c>
      <c r="D12" s="38" t="s">
        <v>11</v>
      </c>
      <c r="E12" s="38" t="s">
        <v>201</v>
      </c>
      <c r="F12" s="38"/>
      <c r="G12" s="38"/>
      <c r="H12" s="42">
        <v>45484</v>
      </c>
      <c r="I12" s="43">
        <v>771.82</v>
      </c>
      <c r="J12" s="38">
        <v>5</v>
      </c>
      <c r="K12" s="39">
        <v>0</v>
      </c>
      <c r="L12" s="54">
        <f>M12*P12</f>
        <v>154.364</v>
      </c>
      <c r="M12" s="39">
        <f>(I12-K12)/J12</f>
        <v>154.364</v>
      </c>
      <c r="N12" s="39">
        <f>I12-L12</f>
        <v>617.45600000000002</v>
      </c>
      <c r="O12" s="38"/>
      <c r="P12" s="40">
        <v>1</v>
      </c>
    </row>
    <row r="13" spans="1:16" ht="30" x14ac:dyDescent="0.25">
      <c r="A13" s="34">
        <v>257</v>
      </c>
      <c r="B13" s="41" t="s">
        <v>325</v>
      </c>
      <c r="C13" s="38">
        <v>1</v>
      </c>
      <c r="D13" s="38" t="s">
        <v>11</v>
      </c>
      <c r="E13" s="38" t="s">
        <v>201</v>
      </c>
      <c r="F13" s="38"/>
      <c r="G13" s="38"/>
      <c r="H13" s="42">
        <v>45484</v>
      </c>
      <c r="I13" s="43">
        <v>1294.55</v>
      </c>
      <c r="J13" s="38">
        <v>5</v>
      </c>
      <c r="K13" s="39">
        <v>0</v>
      </c>
      <c r="L13" s="54">
        <f>M13*P13</f>
        <v>258.90999999999997</v>
      </c>
      <c r="M13" s="39">
        <f>(I13-K13)/J13</f>
        <v>258.90999999999997</v>
      </c>
      <c r="N13" s="39">
        <f>I13-L13</f>
        <v>1035.6399999999999</v>
      </c>
      <c r="O13" s="38"/>
      <c r="P13" s="40">
        <v>1</v>
      </c>
    </row>
    <row r="14" spans="1:16" ht="30" x14ac:dyDescent="0.25">
      <c r="A14" s="34">
        <v>258</v>
      </c>
      <c r="B14" s="41" t="s">
        <v>326</v>
      </c>
      <c r="C14" s="38">
        <v>1</v>
      </c>
      <c r="D14" s="38" t="s">
        <v>11</v>
      </c>
      <c r="E14" s="38" t="s">
        <v>125</v>
      </c>
      <c r="F14" s="38"/>
      <c r="G14" s="38"/>
      <c r="H14" s="42">
        <v>45485</v>
      </c>
      <c r="I14" s="43">
        <v>7980</v>
      </c>
      <c r="J14" s="38">
        <v>5</v>
      </c>
      <c r="K14" s="39">
        <v>0</v>
      </c>
      <c r="L14" s="54">
        <f>M14*P14</f>
        <v>1596</v>
      </c>
      <c r="M14" s="39">
        <f>(I14-K14)/J14</f>
        <v>1596</v>
      </c>
      <c r="N14" s="39">
        <f>I14-L14</f>
        <v>6384</v>
      </c>
      <c r="O14" s="38"/>
      <c r="P14" s="40">
        <v>1</v>
      </c>
    </row>
    <row r="15" spans="1:16" ht="30" x14ac:dyDescent="0.25">
      <c r="A15" s="34">
        <v>259</v>
      </c>
      <c r="B15" s="41" t="s">
        <v>327</v>
      </c>
      <c r="C15" s="38">
        <v>1</v>
      </c>
      <c r="D15" s="38" t="s">
        <v>11</v>
      </c>
      <c r="E15" s="38" t="s">
        <v>201</v>
      </c>
      <c r="F15" s="38"/>
      <c r="G15" s="38"/>
      <c r="H15" s="42">
        <v>45489</v>
      </c>
      <c r="I15" s="43">
        <v>817.27</v>
      </c>
      <c r="J15" s="38">
        <v>5</v>
      </c>
      <c r="K15" s="39">
        <v>0</v>
      </c>
      <c r="L15" s="54">
        <f>M15*P15</f>
        <v>163.45400000000001</v>
      </c>
      <c r="M15" s="39">
        <f>(I15-K15)/J15</f>
        <v>163.45400000000001</v>
      </c>
      <c r="N15" s="39">
        <f>I15-L15</f>
        <v>653.81600000000003</v>
      </c>
      <c r="O15" s="38"/>
      <c r="P15" s="40">
        <v>1</v>
      </c>
    </row>
    <row r="16" spans="1:16" x14ac:dyDescent="0.25">
      <c r="A16" s="34">
        <v>260</v>
      </c>
      <c r="B16" s="41" t="s">
        <v>328</v>
      </c>
      <c r="C16" s="38">
        <v>1</v>
      </c>
      <c r="D16" s="38" t="s">
        <v>11</v>
      </c>
      <c r="E16" s="38" t="s">
        <v>122</v>
      </c>
      <c r="F16" s="38"/>
      <c r="G16" s="38"/>
      <c r="H16" s="42">
        <v>45490</v>
      </c>
      <c r="I16" s="43">
        <v>1569.83</v>
      </c>
      <c r="J16" s="38">
        <v>5</v>
      </c>
      <c r="K16" s="39">
        <v>0</v>
      </c>
      <c r="L16" s="54">
        <f>M16*P16</f>
        <v>313.96600000000001</v>
      </c>
      <c r="M16" s="39">
        <f>(I16-K16)/J16</f>
        <v>313.96600000000001</v>
      </c>
      <c r="N16" s="39">
        <f>I16-L16</f>
        <v>1255.864</v>
      </c>
      <c r="O16" s="38"/>
      <c r="P16" s="40">
        <v>1</v>
      </c>
    </row>
    <row r="17" spans="1:16" x14ac:dyDescent="0.25">
      <c r="A17" s="34">
        <v>261</v>
      </c>
      <c r="B17" s="41" t="s">
        <v>343</v>
      </c>
      <c r="C17" s="38">
        <v>1</v>
      </c>
      <c r="D17" s="38" t="s">
        <v>9</v>
      </c>
      <c r="E17" s="38" t="s">
        <v>344</v>
      </c>
      <c r="F17" s="38"/>
      <c r="G17" s="38"/>
      <c r="H17" s="42">
        <v>45491</v>
      </c>
      <c r="I17" s="43">
        <v>13500</v>
      </c>
      <c r="J17" s="38">
        <v>10</v>
      </c>
      <c r="K17" s="39">
        <v>0</v>
      </c>
      <c r="L17" s="54">
        <f>M17*P17</f>
        <v>1350</v>
      </c>
      <c r="M17" s="39">
        <f>(I17-K17)/J17</f>
        <v>1350</v>
      </c>
      <c r="N17" s="39">
        <f>I17-L17</f>
        <v>12150</v>
      </c>
      <c r="O17" s="38"/>
      <c r="P17" s="40">
        <v>1</v>
      </c>
    </row>
    <row r="18" spans="1:16" x14ac:dyDescent="0.25">
      <c r="A18" s="34">
        <v>262</v>
      </c>
      <c r="B18" s="41" t="s">
        <v>345</v>
      </c>
      <c r="C18" s="38">
        <v>1</v>
      </c>
      <c r="D18" s="38" t="s">
        <v>11</v>
      </c>
      <c r="E18" s="38" t="s">
        <v>262</v>
      </c>
      <c r="F18" s="38"/>
      <c r="G18" s="38" t="s">
        <v>346</v>
      </c>
      <c r="H18" s="42">
        <v>45495</v>
      </c>
      <c r="I18" s="43">
        <v>2500</v>
      </c>
      <c r="J18" s="38">
        <v>5</v>
      </c>
      <c r="K18" s="39">
        <v>0</v>
      </c>
      <c r="L18" s="54">
        <f>M18*P18</f>
        <v>500</v>
      </c>
      <c r="M18" s="39">
        <f>(I18-K18)/J18</f>
        <v>500</v>
      </c>
      <c r="N18" s="39">
        <f>I18-L18</f>
        <v>2000</v>
      </c>
      <c r="O18" s="38"/>
      <c r="P18" s="40">
        <v>1</v>
      </c>
    </row>
    <row r="19" spans="1:16" x14ac:dyDescent="0.25">
      <c r="A19" s="34">
        <v>263</v>
      </c>
      <c r="B19" s="41" t="s">
        <v>36</v>
      </c>
      <c r="C19" s="38">
        <v>50</v>
      </c>
      <c r="D19" s="38" t="s">
        <v>11</v>
      </c>
      <c r="E19" s="38" t="s">
        <v>35</v>
      </c>
      <c r="F19" s="38"/>
      <c r="G19" s="38"/>
      <c r="H19" s="42">
        <v>45495</v>
      </c>
      <c r="I19" s="43">
        <v>23250</v>
      </c>
      <c r="J19" s="38">
        <v>7</v>
      </c>
      <c r="K19" s="39">
        <v>2325</v>
      </c>
      <c r="L19" s="54">
        <f>M19*P19</f>
        <v>2989.2857142857142</v>
      </c>
      <c r="M19" s="39">
        <f>(I19-K19)/J19</f>
        <v>2989.2857142857142</v>
      </c>
      <c r="N19" s="39">
        <f>I19-L19</f>
        <v>20260.714285714286</v>
      </c>
      <c r="O19" s="38"/>
      <c r="P19" s="40">
        <v>1</v>
      </c>
    </row>
    <row r="20" spans="1:16" x14ac:dyDescent="0.25">
      <c r="A20" s="34">
        <v>264</v>
      </c>
      <c r="B20" s="41" t="s">
        <v>347</v>
      </c>
      <c r="C20" s="38">
        <v>1</v>
      </c>
      <c r="D20" s="38" t="s">
        <v>11</v>
      </c>
      <c r="E20" s="38" t="s">
        <v>262</v>
      </c>
      <c r="F20" s="38"/>
      <c r="G20" s="38" t="s">
        <v>348</v>
      </c>
      <c r="H20" s="42">
        <v>45497</v>
      </c>
      <c r="I20" s="43">
        <v>2500</v>
      </c>
      <c r="J20" s="38">
        <v>5</v>
      </c>
      <c r="K20" s="39">
        <v>0</v>
      </c>
      <c r="L20" s="54">
        <f>M20*P20</f>
        <v>500</v>
      </c>
      <c r="M20" s="39">
        <f>(I20-K20)/J20</f>
        <v>500</v>
      </c>
      <c r="N20" s="39">
        <f>I20-L20</f>
        <v>2000</v>
      </c>
      <c r="O20" s="38"/>
      <c r="P20" s="40">
        <v>1</v>
      </c>
    </row>
    <row r="21" spans="1:16" x14ac:dyDescent="0.25">
      <c r="A21" s="34">
        <v>265</v>
      </c>
      <c r="B21" s="41" t="s">
        <v>351</v>
      </c>
      <c r="C21" s="38">
        <v>1</v>
      </c>
      <c r="D21" s="38" t="s">
        <v>11</v>
      </c>
      <c r="E21" s="38" t="s">
        <v>125</v>
      </c>
      <c r="F21" s="38"/>
      <c r="G21" s="38"/>
      <c r="H21" s="42">
        <v>45498</v>
      </c>
      <c r="I21" s="43">
        <v>15377</v>
      </c>
      <c r="J21" s="38">
        <v>5</v>
      </c>
      <c r="K21" s="39">
        <v>0</v>
      </c>
      <c r="L21" s="54">
        <f>M21*P21</f>
        <v>3075.4</v>
      </c>
      <c r="M21" s="39">
        <f>(I21-K21)/J21</f>
        <v>3075.4</v>
      </c>
      <c r="N21" s="39">
        <f>I21-L21</f>
        <v>12301.6</v>
      </c>
      <c r="O21" s="38"/>
      <c r="P21" s="40">
        <v>1</v>
      </c>
    </row>
    <row r="22" spans="1:16" x14ac:dyDescent="0.25">
      <c r="A22" s="34">
        <v>266</v>
      </c>
      <c r="B22" s="41" t="s">
        <v>352</v>
      </c>
      <c r="C22" s="38">
        <v>1</v>
      </c>
      <c r="D22" s="38" t="s">
        <v>11</v>
      </c>
      <c r="E22" s="38" t="s">
        <v>125</v>
      </c>
      <c r="F22" s="38"/>
      <c r="G22" s="38"/>
      <c r="H22" s="42">
        <v>45498</v>
      </c>
      <c r="I22" s="43">
        <v>15377</v>
      </c>
      <c r="J22" s="38">
        <v>5</v>
      </c>
      <c r="K22" s="39">
        <v>0</v>
      </c>
      <c r="L22" s="54">
        <f>M22*P22</f>
        <v>3075.4</v>
      </c>
      <c r="M22" s="39">
        <f>(I22-K22)/J22</f>
        <v>3075.4</v>
      </c>
      <c r="N22" s="39">
        <f>I22-L22</f>
        <v>12301.6</v>
      </c>
      <c r="O22" s="38"/>
      <c r="P22" s="40">
        <v>1</v>
      </c>
    </row>
    <row r="23" spans="1:16" x14ac:dyDescent="0.25">
      <c r="A23" s="34">
        <v>267</v>
      </c>
      <c r="B23" s="41" t="s">
        <v>349</v>
      </c>
      <c r="C23" s="38">
        <v>1</v>
      </c>
      <c r="D23" s="38" t="s">
        <v>9</v>
      </c>
      <c r="E23" s="38" t="s">
        <v>350</v>
      </c>
      <c r="F23" s="38"/>
      <c r="G23" s="38"/>
      <c r="H23" s="42">
        <v>45499</v>
      </c>
      <c r="I23" s="43">
        <v>195000</v>
      </c>
      <c r="J23" s="38">
        <v>10</v>
      </c>
      <c r="K23" s="39">
        <v>19500</v>
      </c>
      <c r="L23" s="54">
        <f>M23*P23</f>
        <v>17550</v>
      </c>
      <c r="M23" s="39">
        <f>(I23-K23)/J23</f>
        <v>17550</v>
      </c>
      <c r="N23" s="39">
        <f>I23-L23</f>
        <v>177450</v>
      </c>
      <c r="O23" s="38"/>
      <c r="P23" s="40">
        <v>1</v>
      </c>
    </row>
    <row r="24" spans="1:16" x14ac:dyDescent="0.25">
      <c r="A24" s="34">
        <v>268</v>
      </c>
      <c r="B24" s="41" t="s">
        <v>342</v>
      </c>
      <c r="C24" s="38"/>
      <c r="D24" s="38" t="s">
        <v>11</v>
      </c>
      <c r="E24" s="38" t="s">
        <v>272</v>
      </c>
      <c r="F24" s="38"/>
      <c r="G24" s="38"/>
      <c r="H24" s="42">
        <v>45503</v>
      </c>
      <c r="I24" s="43">
        <v>332279.09999999998</v>
      </c>
      <c r="J24" s="38">
        <v>5</v>
      </c>
      <c r="K24" s="39">
        <v>33227.910000000003</v>
      </c>
      <c r="L24" s="54">
        <f>M24*P24</f>
        <v>59810.23799999999</v>
      </c>
      <c r="M24" s="39">
        <f>(I24-K24)/J24</f>
        <v>59810.23799999999</v>
      </c>
      <c r="N24" s="39">
        <f>I24-L24</f>
        <v>272468.86199999996</v>
      </c>
      <c r="O24" s="38"/>
      <c r="P24" s="40">
        <v>1</v>
      </c>
    </row>
    <row r="25" spans="1:16" x14ac:dyDescent="0.25">
      <c r="A25" s="34">
        <v>269</v>
      </c>
      <c r="B25" s="41" t="s">
        <v>353</v>
      </c>
      <c r="C25" s="38"/>
      <c r="D25" s="38" t="s">
        <v>11</v>
      </c>
      <c r="E25" s="38" t="s">
        <v>272</v>
      </c>
      <c r="F25" s="38"/>
      <c r="G25" s="38"/>
      <c r="H25" s="42">
        <v>45503</v>
      </c>
      <c r="I25" s="43">
        <v>621682.30000000005</v>
      </c>
      <c r="J25" s="38">
        <v>5</v>
      </c>
      <c r="K25" s="39">
        <v>62168.23</v>
      </c>
      <c r="L25" s="54">
        <f>M25*P25</f>
        <v>111902.81400000001</v>
      </c>
      <c r="M25" s="39">
        <f>(I25-K25)/J25</f>
        <v>111902.81400000001</v>
      </c>
      <c r="N25" s="39">
        <f>I25-L25</f>
        <v>509779.48600000003</v>
      </c>
      <c r="O25" s="38"/>
      <c r="P25" s="40">
        <v>1</v>
      </c>
    </row>
    <row r="26" spans="1:16" x14ac:dyDescent="0.25">
      <c r="A26" s="34">
        <v>270</v>
      </c>
      <c r="B26" s="41" t="s">
        <v>354</v>
      </c>
      <c r="C26" s="38">
        <v>4</v>
      </c>
      <c r="D26" s="38" t="s">
        <v>11</v>
      </c>
      <c r="E26" s="38" t="s">
        <v>125</v>
      </c>
      <c r="F26" s="38"/>
      <c r="G26" s="38"/>
      <c r="H26" s="42">
        <v>45504</v>
      </c>
      <c r="I26" s="43">
        <v>3740</v>
      </c>
      <c r="J26" s="38">
        <v>5</v>
      </c>
      <c r="K26" s="39">
        <v>0</v>
      </c>
      <c r="L26" s="54">
        <f>M26*P26</f>
        <v>748</v>
      </c>
      <c r="M26" s="39">
        <f>(I26-K26)/J26</f>
        <v>748</v>
      </c>
      <c r="N26" s="39">
        <f>I26-L26</f>
        <v>2992</v>
      </c>
      <c r="O26" s="38" t="s">
        <v>355</v>
      </c>
      <c r="P26" s="40">
        <v>1</v>
      </c>
    </row>
    <row r="27" spans="1:16" ht="30" x14ac:dyDescent="0.25">
      <c r="A27" s="34">
        <v>271</v>
      </c>
      <c r="B27" s="41" t="s">
        <v>356</v>
      </c>
      <c r="C27" s="38">
        <v>4</v>
      </c>
      <c r="D27" s="38" t="s">
        <v>11</v>
      </c>
      <c r="E27" s="38" t="s">
        <v>125</v>
      </c>
      <c r="F27" s="38"/>
      <c r="G27" s="38"/>
      <c r="H27" s="42">
        <v>45510</v>
      </c>
      <c r="I27" s="43">
        <v>4900</v>
      </c>
      <c r="J27" s="38">
        <v>5</v>
      </c>
      <c r="K27" s="39">
        <v>0</v>
      </c>
      <c r="L27" s="54">
        <f>M27*P27</f>
        <v>980</v>
      </c>
      <c r="M27" s="39">
        <f>(I27-K27)/J27</f>
        <v>980</v>
      </c>
      <c r="N27" s="39">
        <f>I27-L27</f>
        <v>3920</v>
      </c>
      <c r="O27" s="38" t="s">
        <v>357</v>
      </c>
      <c r="P27" s="40">
        <v>1</v>
      </c>
    </row>
    <row r="28" spans="1:16" x14ac:dyDescent="0.25">
      <c r="A28" s="34">
        <v>272</v>
      </c>
      <c r="B28" s="41" t="s">
        <v>358</v>
      </c>
      <c r="C28" s="38">
        <v>11</v>
      </c>
      <c r="D28" s="38" t="s">
        <v>11</v>
      </c>
      <c r="E28" s="38" t="s">
        <v>125</v>
      </c>
      <c r="F28" s="38"/>
      <c r="G28" s="38"/>
      <c r="H28" s="42">
        <v>45512</v>
      </c>
      <c r="I28" s="43">
        <v>12196.8</v>
      </c>
      <c r="J28" s="38">
        <v>5</v>
      </c>
      <c r="K28" s="39">
        <v>0</v>
      </c>
      <c r="L28" s="54">
        <f>M28*P28</f>
        <v>2439.3599999999997</v>
      </c>
      <c r="M28" s="39">
        <f>(I28-K28)/J28</f>
        <v>2439.3599999999997</v>
      </c>
      <c r="N28" s="39">
        <f>I28-L28</f>
        <v>9757.4399999999987</v>
      </c>
      <c r="O28" s="38" t="s">
        <v>359</v>
      </c>
      <c r="P28" s="40">
        <v>1</v>
      </c>
    </row>
    <row r="29" spans="1:16" x14ac:dyDescent="0.25">
      <c r="A29" s="34">
        <v>273</v>
      </c>
      <c r="B29" s="41" t="s">
        <v>138</v>
      </c>
      <c r="C29" s="38">
        <v>10</v>
      </c>
      <c r="D29" s="38" t="s">
        <v>11</v>
      </c>
      <c r="E29" s="38" t="s">
        <v>125</v>
      </c>
      <c r="F29" s="38"/>
      <c r="G29" s="38"/>
      <c r="H29" s="42">
        <v>45512</v>
      </c>
      <c r="I29" s="43">
        <v>5800</v>
      </c>
      <c r="J29" s="38">
        <v>5</v>
      </c>
      <c r="K29" s="39">
        <v>0</v>
      </c>
      <c r="L29" s="54">
        <f>M29*P29</f>
        <v>1160</v>
      </c>
      <c r="M29" s="39">
        <f>(I29-K29)/J29</f>
        <v>1160</v>
      </c>
      <c r="N29" s="39">
        <f>I29-L29</f>
        <v>4640</v>
      </c>
      <c r="O29" s="38" t="s">
        <v>245</v>
      </c>
      <c r="P29" s="40">
        <v>1</v>
      </c>
    </row>
    <row r="30" spans="1:16" x14ac:dyDescent="0.25">
      <c r="A30" s="34">
        <v>274</v>
      </c>
      <c r="B30" s="46" t="s">
        <v>360</v>
      </c>
      <c r="C30" s="73">
        <v>1</v>
      </c>
      <c r="D30" s="73" t="s">
        <v>9</v>
      </c>
      <c r="E30" s="73" t="s">
        <v>57</v>
      </c>
      <c r="F30" s="73"/>
      <c r="G30" s="73" t="s">
        <v>361</v>
      </c>
      <c r="H30" s="74">
        <v>45513</v>
      </c>
      <c r="I30" s="75">
        <v>28800</v>
      </c>
      <c r="J30" s="73">
        <v>10</v>
      </c>
      <c r="K30" s="70">
        <v>0</v>
      </c>
      <c r="L30" s="76">
        <v>28800</v>
      </c>
      <c r="M30" s="70">
        <v>5760</v>
      </c>
      <c r="N30" s="70">
        <v>0</v>
      </c>
      <c r="O30" s="73" t="s">
        <v>362</v>
      </c>
      <c r="P30" s="77">
        <v>0</v>
      </c>
    </row>
    <row r="31" spans="1:16" x14ac:dyDescent="0.25">
      <c r="A31" s="34">
        <v>275</v>
      </c>
      <c r="B31" s="41" t="s">
        <v>363</v>
      </c>
      <c r="C31" s="38">
        <v>1</v>
      </c>
      <c r="D31" s="38" t="s">
        <v>9</v>
      </c>
      <c r="E31" s="38" t="s">
        <v>364</v>
      </c>
      <c r="F31" s="38"/>
      <c r="G31" s="38"/>
      <c r="H31" s="42">
        <v>45523</v>
      </c>
      <c r="I31" s="43">
        <v>33390.18</v>
      </c>
      <c r="J31" s="38">
        <v>5</v>
      </c>
      <c r="K31" s="39">
        <v>0</v>
      </c>
      <c r="L31" s="54">
        <f>M31*P31</f>
        <v>6678.0360000000001</v>
      </c>
      <c r="M31" s="39">
        <f>(I31-K31)/J31</f>
        <v>6678.0360000000001</v>
      </c>
      <c r="N31" s="39">
        <f>I31-L31</f>
        <v>26712.144</v>
      </c>
      <c r="O31" s="38"/>
      <c r="P31" s="40">
        <v>1</v>
      </c>
    </row>
    <row r="32" spans="1:16" x14ac:dyDescent="0.25">
      <c r="A32" s="34">
        <v>276</v>
      </c>
      <c r="B32" s="41" t="s">
        <v>368</v>
      </c>
      <c r="C32" s="38">
        <v>100</v>
      </c>
      <c r="D32" s="38" t="s">
        <v>10</v>
      </c>
      <c r="E32" s="38" t="s">
        <v>101</v>
      </c>
      <c r="F32" s="38"/>
      <c r="G32" s="38"/>
      <c r="H32" s="42">
        <v>45524</v>
      </c>
      <c r="I32" s="43">
        <v>14660</v>
      </c>
      <c r="J32" s="38">
        <v>5</v>
      </c>
      <c r="K32" s="39">
        <v>1438</v>
      </c>
      <c r="L32" s="54">
        <f>M32*P32</f>
        <v>2644.4</v>
      </c>
      <c r="M32" s="39">
        <f>(I32-K32)/J32</f>
        <v>2644.4</v>
      </c>
      <c r="N32" s="39">
        <f>I32-L32</f>
        <v>12015.6</v>
      </c>
      <c r="O32" s="38" t="s">
        <v>369</v>
      </c>
      <c r="P32" s="40">
        <v>1</v>
      </c>
    </row>
    <row r="33" spans="1:16" x14ac:dyDescent="0.25">
      <c r="A33" s="34">
        <v>277</v>
      </c>
      <c r="B33" s="41" t="s">
        <v>370</v>
      </c>
      <c r="C33" s="38">
        <v>1</v>
      </c>
      <c r="D33" s="38" t="s">
        <v>9</v>
      </c>
      <c r="E33" s="38" t="s">
        <v>318</v>
      </c>
      <c r="F33" s="38"/>
      <c r="G33" s="38"/>
      <c r="H33" s="42">
        <v>45525</v>
      </c>
      <c r="I33" s="43">
        <v>34840</v>
      </c>
      <c r="J33" s="38">
        <v>5</v>
      </c>
      <c r="K33" s="39">
        <v>3840</v>
      </c>
      <c r="L33" s="54">
        <f>M33*P33</f>
        <v>6200</v>
      </c>
      <c r="M33" s="39">
        <f>(I33-K33)/J33</f>
        <v>6200</v>
      </c>
      <c r="N33" s="39">
        <f>I33-L33</f>
        <v>28640</v>
      </c>
      <c r="O33" s="38"/>
      <c r="P33" s="40">
        <v>1</v>
      </c>
    </row>
    <row r="34" spans="1:16" x14ac:dyDescent="0.25">
      <c r="A34" s="34">
        <v>278</v>
      </c>
      <c r="B34" s="38" t="s">
        <v>377</v>
      </c>
      <c r="C34" s="38">
        <v>1</v>
      </c>
      <c r="D34" s="38" t="s">
        <v>11</v>
      </c>
      <c r="E34" s="38" t="s">
        <v>31</v>
      </c>
      <c r="F34" s="38"/>
      <c r="G34" s="38"/>
      <c r="H34" s="42">
        <v>45525</v>
      </c>
      <c r="I34" s="43">
        <v>10789.8</v>
      </c>
      <c r="J34" s="38">
        <v>5</v>
      </c>
      <c r="K34" s="39">
        <v>0</v>
      </c>
      <c r="L34" s="54">
        <f>M34*P34</f>
        <v>2157.96</v>
      </c>
      <c r="M34" s="39">
        <f>(I34-K34)/J34</f>
        <v>2157.96</v>
      </c>
      <c r="N34" s="39">
        <f>I34-L34</f>
        <v>8631.84</v>
      </c>
      <c r="O34" s="38"/>
      <c r="P34" s="40">
        <v>1</v>
      </c>
    </row>
    <row r="35" spans="1:16" x14ac:dyDescent="0.25">
      <c r="A35" s="34">
        <v>279</v>
      </c>
      <c r="B35" s="41" t="s">
        <v>365</v>
      </c>
      <c r="C35" s="38">
        <v>2000</v>
      </c>
      <c r="D35" s="38" t="s">
        <v>10</v>
      </c>
      <c r="E35" s="38" t="s">
        <v>366</v>
      </c>
      <c r="F35" s="38"/>
      <c r="G35" s="38"/>
      <c r="H35" s="42">
        <v>45526</v>
      </c>
      <c r="I35" s="43">
        <v>63000</v>
      </c>
      <c r="J35" s="38">
        <v>5</v>
      </c>
      <c r="K35" s="39">
        <v>3150</v>
      </c>
      <c r="L35" s="54">
        <f>M35*P35</f>
        <v>11970</v>
      </c>
      <c r="M35" s="39">
        <f>(I35-K35)/J35</f>
        <v>11970</v>
      </c>
      <c r="N35" s="39">
        <f>I35-L35</f>
        <v>51030</v>
      </c>
      <c r="O35" s="38" t="s">
        <v>367</v>
      </c>
      <c r="P35" s="40">
        <v>1</v>
      </c>
    </row>
    <row r="36" spans="1:16" x14ac:dyDescent="0.25">
      <c r="A36" s="34">
        <v>280</v>
      </c>
      <c r="B36" s="41" t="s">
        <v>371</v>
      </c>
      <c r="C36" s="38">
        <v>1</v>
      </c>
      <c r="D36" s="38" t="s">
        <v>9</v>
      </c>
      <c r="E36" s="38" t="s">
        <v>372</v>
      </c>
      <c r="F36" s="38"/>
      <c r="G36" s="38"/>
      <c r="H36" s="42">
        <v>45527</v>
      </c>
      <c r="I36" s="43">
        <v>7699</v>
      </c>
      <c r="J36" s="38">
        <v>10</v>
      </c>
      <c r="K36" s="39">
        <v>769.9</v>
      </c>
      <c r="L36" s="54">
        <f>M36*P36</f>
        <v>692.91000000000008</v>
      </c>
      <c r="M36" s="39">
        <f>(I36-K36)/J36</f>
        <v>692.91000000000008</v>
      </c>
      <c r="N36" s="39">
        <f>I36-L36</f>
        <v>7006.09</v>
      </c>
      <c r="O36" s="38"/>
      <c r="P36" s="40">
        <v>1</v>
      </c>
    </row>
    <row r="37" spans="1:16" x14ac:dyDescent="0.25">
      <c r="A37" s="34">
        <v>281</v>
      </c>
      <c r="B37" s="41" t="s">
        <v>373</v>
      </c>
      <c r="C37" s="38">
        <v>1</v>
      </c>
      <c r="D37" s="38" t="s">
        <v>11</v>
      </c>
      <c r="E37" s="38" t="s">
        <v>125</v>
      </c>
      <c r="F37" s="38"/>
      <c r="G37" s="38"/>
      <c r="H37" s="42">
        <v>45532</v>
      </c>
      <c r="I37" s="43">
        <v>8165</v>
      </c>
      <c r="J37" s="38">
        <v>5</v>
      </c>
      <c r="K37" s="39">
        <v>0</v>
      </c>
      <c r="L37" s="54">
        <f>M37*P37</f>
        <v>1633</v>
      </c>
      <c r="M37" s="39">
        <f>(I37-K37)/J37</f>
        <v>1633</v>
      </c>
      <c r="N37" s="39">
        <f>I37-L37</f>
        <v>6532</v>
      </c>
      <c r="O37" s="38"/>
      <c r="P37" s="40">
        <v>1</v>
      </c>
    </row>
    <row r="38" spans="1:16" x14ac:dyDescent="0.25">
      <c r="A38" s="34">
        <v>282</v>
      </c>
      <c r="B38" s="41" t="s">
        <v>375</v>
      </c>
      <c r="C38" s="38">
        <v>1</v>
      </c>
      <c r="D38" s="38" t="s">
        <v>9</v>
      </c>
      <c r="E38" s="38" t="s">
        <v>108</v>
      </c>
      <c r="F38" s="38"/>
      <c r="G38" s="38"/>
      <c r="H38" s="42">
        <v>45538</v>
      </c>
      <c r="I38" s="43">
        <v>1935.45</v>
      </c>
      <c r="J38" s="38">
        <v>5</v>
      </c>
      <c r="K38" s="39">
        <v>0</v>
      </c>
      <c r="L38" s="54">
        <f>M38*P38</f>
        <v>387.09000000000003</v>
      </c>
      <c r="M38" s="39">
        <f>(I38-K38)/J38</f>
        <v>387.09000000000003</v>
      </c>
      <c r="N38" s="39">
        <f>I38-L38</f>
        <v>1548.3600000000001</v>
      </c>
      <c r="O38" s="38"/>
      <c r="P38" s="40">
        <v>1</v>
      </c>
    </row>
    <row r="39" spans="1:16" x14ac:dyDescent="0.25">
      <c r="A39" s="34">
        <v>283</v>
      </c>
      <c r="B39" s="38" t="s">
        <v>376</v>
      </c>
      <c r="C39" s="38">
        <v>1</v>
      </c>
      <c r="D39" s="38" t="s">
        <v>9</v>
      </c>
      <c r="E39" s="38" t="s">
        <v>108</v>
      </c>
      <c r="F39" s="38"/>
      <c r="G39" s="38"/>
      <c r="H39" s="42">
        <v>45538</v>
      </c>
      <c r="I39" s="43">
        <v>907.27</v>
      </c>
      <c r="J39" s="38">
        <v>5</v>
      </c>
      <c r="K39" s="39">
        <v>0</v>
      </c>
      <c r="L39" s="54">
        <f>M39*P39</f>
        <v>181.45400000000001</v>
      </c>
      <c r="M39" s="39">
        <f>(I39-K39)/J39</f>
        <v>181.45400000000001</v>
      </c>
      <c r="N39" s="39">
        <f>I39-L39</f>
        <v>725.81600000000003</v>
      </c>
      <c r="O39" s="38"/>
      <c r="P39" s="40">
        <v>1</v>
      </c>
    </row>
    <row r="40" spans="1:16" ht="30" x14ac:dyDescent="0.25">
      <c r="A40" s="34">
        <v>284</v>
      </c>
      <c r="B40" s="41" t="s">
        <v>382</v>
      </c>
      <c r="C40" s="38">
        <v>1</v>
      </c>
      <c r="D40" s="38" t="s">
        <v>11</v>
      </c>
      <c r="E40" s="38" t="s">
        <v>35</v>
      </c>
      <c r="F40" s="38"/>
      <c r="G40" s="38"/>
      <c r="H40" s="42">
        <v>45538</v>
      </c>
      <c r="I40" s="43">
        <v>4182.1000000000004</v>
      </c>
      <c r="J40" s="38">
        <v>3</v>
      </c>
      <c r="K40" s="39">
        <v>0</v>
      </c>
      <c r="L40" s="54">
        <f>M40*P40</f>
        <v>1394.0333333333335</v>
      </c>
      <c r="M40" s="39">
        <f>(I40-K40)/J40</f>
        <v>1394.0333333333335</v>
      </c>
      <c r="N40" s="39">
        <f>I40-L40</f>
        <v>2788.0666666666666</v>
      </c>
      <c r="O40" s="38"/>
      <c r="P40" s="40">
        <v>1</v>
      </c>
    </row>
    <row r="41" spans="1:16" ht="30" x14ac:dyDescent="0.25">
      <c r="A41" s="34">
        <v>285</v>
      </c>
      <c r="B41" s="41" t="s">
        <v>383</v>
      </c>
      <c r="C41" s="38">
        <v>1</v>
      </c>
      <c r="D41" s="38" t="s">
        <v>11</v>
      </c>
      <c r="E41" s="38" t="s">
        <v>35</v>
      </c>
      <c r="F41" s="38"/>
      <c r="G41" s="38"/>
      <c r="H41" s="42">
        <v>45538</v>
      </c>
      <c r="I41" s="43">
        <v>4533.8</v>
      </c>
      <c r="J41" s="38">
        <v>3</v>
      </c>
      <c r="K41" s="39">
        <v>0</v>
      </c>
      <c r="L41" s="54">
        <f>M41*P41</f>
        <v>1511.2666666666667</v>
      </c>
      <c r="M41" s="39">
        <f>(I41-K41)/J41</f>
        <v>1511.2666666666667</v>
      </c>
      <c r="N41" s="39">
        <f>I41-L41</f>
        <v>3022.5333333333338</v>
      </c>
      <c r="O41" s="38"/>
      <c r="P41" s="40">
        <v>1</v>
      </c>
    </row>
    <row r="42" spans="1:16" ht="30" x14ac:dyDescent="0.25">
      <c r="A42" s="34">
        <v>286</v>
      </c>
      <c r="B42" s="41" t="s">
        <v>374</v>
      </c>
      <c r="C42" s="38">
        <v>1</v>
      </c>
      <c r="D42" s="38" t="s">
        <v>9</v>
      </c>
      <c r="E42" s="38" t="s">
        <v>201</v>
      </c>
      <c r="F42" s="38"/>
      <c r="G42" s="38"/>
      <c r="H42" s="42">
        <v>45539</v>
      </c>
      <c r="I42" s="43">
        <v>1253.3399999999999</v>
      </c>
      <c r="J42" s="38">
        <v>5</v>
      </c>
      <c r="K42" s="39">
        <v>0</v>
      </c>
      <c r="L42" s="54">
        <f>M42*P42</f>
        <v>250.66799999999998</v>
      </c>
      <c r="M42" s="39">
        <f>(I42-K42)/J42</f>
        <v>250.66799999999998</v>
      </c>
      <c r="N42" s="39">
        <f>I42-L42</f>
        <v>1002.6719999999999</v>
      </c>
      <c r="O42" s="38"/>
      <c r="P42" s="40">
        <v>1</v>
      </c>
    </row>
    <row r="43" spans="1:16" ht="30" x14ac:dyDescent="0.25">
      <c r="A43" s="34">
        <v>287</v>
      </c>
      <c r="B43" s="41" t="s">
        <v>379</v>
      </c>
      <c r="C43" s="38">
        <v>15</v>
      </c>
      <c r="D43" s="38" t="s">
        <v>11</v>
      </c>
      <c r="E43" s="38" t="s">
        <v>135</v>
      </c>
      <c r="F43" s="38"/>
      <c r="G43" s="38"/>
      <c r="H43" s="42">
        <v>45540</v>
      </c>
      <c r="I43" s="43">
        <v>16632</v>
      </c>
      <c r="J43" s="38">
        <v>5</v>
      </c>
      <c r="K43" s="39">
        <v>0</v>
      </c>
      <c r="L43" s="54">
        <f>M43*P43</f>
        <v>3326.4</v>
      </c>
      <c r="M43" s="39">
        <f>(I43-K43)/J43</f>
        <v>3326.4</v>
      </c>
      <c r="N43" s="39">
        <f>I43-L43</f>
        <v>13305.6</v>
      </c>
      <c r="O43" s="38" t="s">
        <v>359</v>
      </c>
      <c r="P43" s="40">
        <v>1</v>
      </c>
    </row>
    <row r="44" spans="1:16" x14ac:dyDescent="0.25">
      <c r="A44" s="34">
        <v>288</v>
      </c>
      <c r="B44" s="38" t="s">
        <v>378</v>
      </c>
      <c r="C44" s="38">
        <v>1</v>
      </c>
      <c r="D44" s="38" t="s">
        <v>8</v>
      </c>
      <c r="E44" s="38" t="s">
        <v>189</v>
      </c>
      <c r="F44" s="38"/>
      <c r="G44" s="38"/>
      <c r="H44" s="42">
        <v>45541</v>
      </c>
      <c r="I44" s="43">
        <v>1670</v>
      </c>
      <c r="J44" s="38">
        <v>3</v>
      </c>
      <c r="K44" s="39">
        <v>0</v>
      </c>
      <c r="L44" s="54">
        <f>M44*P44</f>
        <v>556.66666666666663</v>
      </c>
      <c r="M44" s="39">
        <f>(I44-K44)/J44</f>
        <v>556.66666666666663</v>
      </c>
      <c r="N44" s="39">
        <f>I44-L44</f>
        <v>1113.3333333333335</v>
      </c>
      <c r="O44" s="38"/>
      <c r="P44" s="40">
        <v>1</v>
      </c>
    </row>
    <row r="45" spans="1:16" x14ac:dyDescent="0.25">
      <c r="A45" s="34">
        <v>289</v>
      </c>
      <c r="B45" s="38" t="s">
        <v>380</v>
      </c>
      <c r="C45" s="38">
        <v>16</v>
      </c>
      <c r="D45" s="38" t="s">
        <v>11</v>
      </c>
      <c r="E45" s="38" t="s">
        <v>101</v>
      </c>
      <c r="F45" s="38"/>
      <c r="G45" s="38"/>
      <c r="H45" s="42">
        <v>45541</v>
      </c>
      <c r="I45" s="43">
        <v>25426.17</v>
      </c>
      <c r="J45" s="38">
        <v>5</v>
      </c>
      <c r="K45" s="39">
        <v>2542.61</v>
      </c>
      <c r="L45" s="54">
        <f>M45*P45</f>
        <v>4576.7119999999995</v>
      </c>
      <c r="M45" s="39">
        <f>(I45-K45)/J45</f>
        <v>4576.7119999999995</v>
      </c>
      <c r="N45" s="39">
        <f>I45-L45</f>
        <v>20849.457999999999</v>
      </c>
      <c r="O45" s="38" t="s">
        <v>381</v>
      </c>
      <c r="P45" s="40">
        <v>1</v>
      </c>
    </row>
    <row r="46" spans="1:16" x14ac:dyDescent="0.25">
      <c r="A46" s="34">
        <v>290</v>
      </c>
      <c r="B46" s="38" t="s">
        <v>368</v>
      </c>
      <c r="C46" s="38">
        <v>200</v>
      </c>
      <c r="D46" s="38" t="s">
        <v>11</v>
      </c>
      <c r="E46" s="38" t="s">
        <v>101</v>
      </c>
      <c r="F46" s="38"/>
      <c r="G46" s="38"/>
      <c r="H46" s="42">
        <v>45544</v>
      </c>
      <c r="I46" s="43">
        <v>29370</v>
      </c>
      <c r="J46" s="38">
        <v>5</v>
      </c>
      <c r="K46" s="39">
        <v>2937</v>
      </c>
      <c r="L46" s="54">
        <f>M46*P46</f>
        <v>5286.6</v>
      </c>
      <c r="M46" s="39">
        <f>(I46-K46)/J46</f>
        <v>5286.6</v>
      </c>
      <c r="N46" s="39">
        <f>I46-L46</f>
        <v>24083.4</v>
      </c>
      <c r="O46" s="38" t="s">
        <v>384</v>
      </c>
      <c r="P46" s="40">
        <v>1</v>
      </c>
    </row>
    <row r="47" spans="1:16" x14ac:dyDescent="0.25">
      <c r="A47" s="34">
        <v>291</v>
      </c>
      <c r="B47" s="38" t="s">
        <v>385</v>
      </c>
      <c r="C47" s="38">
        <v>1</v>
      </c>
      <c r="D47" s="38" t="s">
        <v>9</v>
      </c>
      <c r="E47" s="38" t="s">
        <v>386</v>
      </c>
      <c r="F47" s="38"/>
      <c r="G47" s="38"/>
      <c r="H47" s="42">
        <v>45548</v>
      </c>
      <c r="I47" s="43">
        <v>52887.11</v>
      </c>
      <c r="J47" s="38">
        <v>5</v>
      </c>
      <c r="K47" s="39">
        <v>5288.71</v>
      </c>
      <c r="L47" s="54">
        <f>M47*P47</f>
        <v>9519.68</v>
      </c>
      <c r="M47" s="39">
        <f>(I47-K47)/J47</f>
        <v>9519.68</v>
      </c>
      <c r="N47" s="39">
        <f>I47-L47</f>
        <v>43367.43</v>
      </c>
      <c r="O47" s="38"/>
      <c r="P47" s="40">
        <v>1</v>
      </c>
    </row>
    <row r="48" spans="1:16" x14ac:dyDescent="0.25">
      <c r="A48" s="34">
        <v>292</v>
      </c>
      <c r="B48" s="38" t="s">
        <v>387</v>
      </c>
      <c r="C48" s="38">
        <v>1</v>
      </c>
      <c r="D48" s="38" t="s">
        <v>8</v>
      </c>
      <c r="E48" s="38" t="s">
        <v>92</v>
      </c>
      <c r="F48" s="38"/>
      <c r="G48" s="38"/>
      <c r="H48" s="42">
        <v>45551</v>
      </c>
      <c r="I48" s="43">
        <v>1222</v>
      </c>
      <c r="J48" s="38">
        <v>3</v>
      </c>
      <c r="K48" s="39">
        <v>0</v>
      </c>
      <c r="L48" s="54">
        <f>M48*P48</f>
        <v>407.33333333333331</v>
      </c>
      <c r="M48" s="39">
        <f>(I48-K48)/J48</f>
        <v>407.33333333333331</v>
      </c>
      <c r="N48" s="39">
        <f>I48-L48</f>
        <v>814.66666666666674</v>
      </c>
      <c r="O48" s="38"/>
      <c r="P48" s="40">
        <v>1</v>
      </c>
    </row>
    <row r="49" spans="1:16" x14ac:dyDescent="0.25">
      <c r="A49" s="34">
        <v>293</v>
      </c>
      <c r="B49" s="38" t="s">
        <v>390</v>
      </c>
      <c r="C49" s="38">
        <v>1</v>
      </c>
      <c r="D49" s="41" t="s">
        <v>7</v>
      </c>
      <c r="E49" s="41" t="s">
        <v>236</v>
      </c>
      <c r="F49" s="38"/>
      <c r="G49" s="38"/>
      <c r="H49" s="42">
        <v>45551</v>
      </c>
      <c r="I49" s="43">
        <v>1495</v>
      </c>
      <c r="J49" s="38">
        <v>10</v>
      </c>
      <c r="K49" s="39">
        <v>0</v>
      </c>
      <c r="L49" s="54">
        <f>M49*P49</f>
        <v>149.5</v>
      </c>
      <c r="M49" s="39">
        <f>(I49-K49)/J49</f>
        <v>149.5</v>
      </c>
      <c r="N49" s="39">
        <f>I49-L49</f>
        <v>1345.5</v>
      </c>
      <c r="O49" s="38"/>
      <c r="P49" s="40">
        <v>1</v>
      </c>
    </row>
    <row r="50" spans="1:16" x14ac:dyDescent="0.25">
      <c r="A50" s="34">
        <v>294</v>
      </c>
      <c r="B50" s="38" t="s">
        <v>388</v>
      </c>
      <c r="C50" s="38">
        <v>1</v>
      </c>
      <c r="D50" s="38" t="s">
        <v>7</v>
      </c>
      <c r="E50" s="38" t="s">
        <v>63</v>
      </c>
      <c r="F50" s="38"/>
      <c r="G50" s="38"/>
      <c r="H50" s="42">
        <v>45553</v>
      </c>
      <c r="I50" s="43">
        <v>11472</v>
      </c>
      <c r="J50" s="38">
        <v>5</v>
      </c>
      <c r="K50" s="39">
        <v>2294.4</v>
      </c>
      <c r="L50" s="54">
        <f>M50*P50</f>
        <v>1835.52</v>
      </c>
      <c r="M50" s="39">
        <f>(I50-K50)/J50</f>
        <v>1835.52</v>
      </c>
      <c r="N50" s="39">
        <f>I50-L50</f>
        <v>9636.48</v>
      </c>
      <c r="O50" s="38"/>
      <c r="P50" s="71">
        <v>1</v>
      </c>
    </row>
    <row r="51" spans="1:16" ht="30" x14ac:dyDescent="0.25">
      <c r="A51" s="34">
        <v>295</v>
      </c>
      <c r="B51" s="41" t="s">
        <v>389</v>
      </c>
      <c r="C51" s="38">
        <v>1</v>
      </c>
      <c r="D51" s="38" t="s">
        <v>7</v>
      </c>
      <c r="E51" s="38" t="s">
        <v>63</v>
      </c>
      <c r="F51" s="38"/>
      <c r="G51" s="38"/>
      <c r="H51" s="42">
        <v>45553</v>
      </c>
      <c r="I51" s="43">
        <v>8040</v>
      </c>
      <c r="J51" s="38">
        <v>5</v>
      </c>
      <c r="K51" s="39">
        <v>1608</v>
      </c>
      <c r="L51" s="54">
        <f>M51*P51</f>
        <v>1286.4000000000001</v>
      </c>
      <c r="M51" s="39">
        <f>(I51-K51)/J51</f>
        <v>1286.4000000000001</v>
      </c>
      <c r="N51" s="39">
        <f>I51-L51</f>
        <v>6753.6</v>
      </c>
      <c r="O51" s="38"/>
      <c r="P51" s="40">
        <v>1</v>
      </c>
    </row>
    <row r="52" spans="1:16" x14ac:dyDescent="0.25">
      <c r="A52" s="34">
        <v>296</v>
      </c>
      <c r="B52" s="38" t="s">
        <v>336</v>
      </c>
      <c r="C52" s="38">
        <v>4</v>
      </c>
      <c r="D52" s="38" t="s">
        <v>11</v>
      </c>
      <c r="E52" s="38" t="s">
        <v>82</v>
      </c>
      <c r="F52" s="38"/>
      <c r="G52" s="38"/>
      <c r="H52" s="42">
        <v>45554</v>
      </c>
      <c r="I52" s="43">
        <v>20217.599999999999</v>
      </c>
      <c r="J52" s="38">
        <v>10</v>
      </c>
      <c r="K52" s="39">
        <v>0</v>
      </c>
      <c r="L52" s="54">
        <f>M52*P52</f>
        <v>2021.7599999999998</v>
      </c>
      <c r="M52" s="39">
        <f>(I52-K52)/J52</f>
        <v>2021.7599999999998</v>
      </c>
      <c r="N52" s="39">
        <f>I52-L52</f>
        <v>18195.84</v>
      </c>
      <c r="O52" s="38"/>
      <c r="P52" s="40">
        <v>1</v>
      </c>
    </row>
    <row r="53" spans="1:16" x14ac:dyDescent="0.25">
      <c r="A53" s="34">
        <v>297</v>
      </c>
      <c r="B53" s="38" t="s">
        <v>391</v>
      </c>
      <c r="C53" s="38">
        <v>1</v>
      </c>
      <c r="D53" s="38" t="s">
        <v>11</v>
      </c>
      <c r="E53" s="38" t="s">
        <v>125</v>
      </c>
      <c r="F53" s="38"/>
      <c r="G53" s="38"/>
      <c r="H53" s="42">
        <v>45559</v>
      </c>
      <c r="I53" s="43">
        <v>40671</v>
      </c>
      <c r="J53" s="38">
        <v>5</v>
      </c>
      <c r="K53" s="39">
        <v>0</v>
      </c>
      <c r="L53" s="54">
        <f>M53*P53</f>
        <v>8134.2</v>
      </c>
      <c r="M53" s="39">
        <f>(I53-K53)/J53</f>
        <v>8134.2</v>
      </c>
      <c r="N53" s="39">
        <f>I53-L53</f>
        <v>32536.799999999999</v>
      </c>
      <c r="O53" s="38"/>
      <c r="P53" s="40">
        <v>1</v>
      </c>
    </row>
    <row r="54" spans="1:16" x14ac:dyDescent="0.25">
      <c r="A54" s="34">
        <v>298</v>
      </c>
      <c r="B54" s="38" t="s">
        <v>392</v>
      </c>
      <c r="C54" s="38">
        <v>4</v>
      </c>
      <c r="D54" s="38" t="s">
        <v>11</v>
      </c>
      <c r="E54" s="38" t="s">
        <v>125</v>
      </c>
      <c r="F54" s="38"/>
      <c r="G54" s="38"/>
      <c r="H54" s="42">
        <v>45559</v>
      </c>
      <c r="I54" s="43">
        <v>2660</v>
      </c>
      <c r="J54" s="38">
        <v>5</v>
      </c>
      <c r="K54" s="39">
        <v>0</v>
      </c>
      <c r="L54" s="54">
        <f>M54*P54</f>
        <v>532</v>
      </c>
      <c r="M54" s="39">
        <f>(I54-K54)/J54</f>
        <v>532</v>
      </c>
      <c r="N54" s="39">
        <f>I54-L54</f>
        <v>2128</v>
      </c>
      <c r="O54" s="38" t="s">
        <v>393</v>
      </c>
      <c r="P54" s="40">
        <v>1</v>
      </c>
    </row>
    <row r="55" spans="1:16" x14ac:dyDescent="0.25">
      <c r="A55" s="34">
        <v>299</v>
      </c>
      <c r="B55" s="38" t="s">
        <v>394</v>
      </c>
      <c r="C55" s="38">
        <v>2</v>
      </c>
      <c r="D55" s="38" t="s">
        <v>11</v>
      </c>
      <c r="E55" s="38" t="s">
        <v>125</v>
      </c>
      <c r="F55" s="38"/>
      <c r="G55" s="38"/>
      <c r="H55" s="42">
        <v>45559</v>
      </c>
      <c r="I55" s="43">
        <v>1170</v>
      </c>
      <c r="J55" s="38">
        <v>5</v>
      </c>
      <c r="K55" s="39">
        <v>0</v>
      </c>
      <c r="L55" s="54">
        <f>M55*P55</f>
        <v>234</v>
      </c>
      <c r="M55" s="39">
        <f>(I55-K55)/J55</f>
        <v>234</v>
      </c>
      <c r="N55" s="39">
        <f>I55-L55</f>
        <v>936</v>
      </c>
      <c r="O55" s="38" t="s">
        <v>395</v>
      </c>
      <c r="P55" s="40">
        <v>1</v>
      </c>
    </row>
    <row r="56" spans="1:16" x14ac:dyDescent="0.25">
      <c r="A56" s="34">
        <v>300</v>
      </c>
      <c r="B56" s="38" t="s">
        <v>396</v>
      </c>
      <c r="C56" s="38">
        <v>1</v>
      </c>
      <c r="D56" s="38" t="s">
        <v>9</v>
      </c>
      <c r="E56" s="38" t="s">
        <v>397</v>
      </c>
      <c r="F56" s="38"/>
      <c r="G56" s="38"/>
      <c r="H56" s="42">
        <v>45560</v>
      </c>
      <c r="I56" s="43">
        <v>57914.3</v>
      </c>
      <c r="J56" s="38">
        <v>10</v>
      </c>
      <c r="K56" s="39">
        <v>0</v>
      </c>
      <c r="L56" s="54">
        <f>M56*P56</f>
        <v>5791.43</v>
      </c>
      <c r="M56" s="39">
        <f>(I56-K56)/J56</f>
        <v>5791.43</v>
      </c>
      <c r="N56" s="39">
        <f>I56-L56</f>
        <v>52122.87</v>
      </c>
      <c r="O56" s="38"/>
      <c r="P56" s="40">
        <v>1</v>
      </c>
    </row>
    <row r="57" spans="1:16" x14ac:dyDescent="0.25">
      <c r="A57" s="34">
        <v>301</v>
      </c>
      <c r="B57" s="38" t="s">
        <v>398</v>
      </c>
      <c r="C57" s="38">
        <v>1</v>
      </c>
      <c r="D57" s="38" t="s">
        <v>9</v>
      </c>
      <c r="E57" s="38" t="s">
        <v>399</v>
      </c>
      <c r="F57" s="38"/>
      <c r="G57" s="38"/>
      <c r="H57" s="42">
        <v>45560</v>
      </c>
      <c r="I57" s="43">
        <v>15000</v>
      </c>
      <c r="J57" s="38">
        <v>10</v>
      </c>
      <c r="K57" s="39">
        <v>3000</v>
      </c>
      <c r="L57" s="54">
        <f>M57*P57</f>
        <v>1200</v>
      </c>
      <c r="M57" s="39">
        <f>(I57-K57)/J57</f>
        <v>1200</v>
      </c>
      <c r="N57" s="39">
        <f>I57-L57</f>
        <v>13800</v>
      </c>
      <c r="O57" s="38"/>
      <c r="P57" s="40">
        <v>1</v>
      </c>
    </row>
    <row r="58" spans="1:16" x14ac:dyDescent="0.25">
      <c r="A58" s="34">
        <v>302</v>
      </c>
      <c r="B58" s="38" t="s">
        <v>400</v>
      </c>
      <c r="C58" s="38">
        <v>1</v>
      </c>
      <c r="D58" s="38" t="s">
        <v>9</v>
      </c>
      <c r="E58" s="38" t="s">
        <v>399</v>
      </c>
      <c r="F58" s="38"/>
      <c r="G58" s="38"/>
      <c r="H58" s="42">
        <v>45560</v>
      </c>
      <c r="I58" s="43">
        <v>18400</v>
      </c>
      <c r="J58" s="38">
        <v>10</v>
      </c>
      <c r="K58" s="39">
        <v>3680</v>
      </c>
      <c r="L58" s="54">
        <f>M58*P58</f>
        <v>1472</v>
      </c>
      <c r="M58" s="39">
        <f>(I58-K58)/J58</f>
        <v>1472</v>
      </c>
      <c r="N58" s="39">
        <f>I58-L58</f>
        <v>16928</v>
      </c>
      <c r="O58" s="38"/>
      <c r="P58" s="40">
        <v>1</v>
      </c>
    </row>
    <row r="59" spans="1:16" x14ac:dyDescent="0.25">
      <c r="A59" s="34">
        <v>303</v>
      </c>
      <c r="B59" s="38" t="s">
        <v>401</v>
      </c>
      <c r="C59" s="38">
        <v>1</v>
      </c>
      <c r="D59" s="38" t="s">
        <v>9</v>
      </c>
      <c r="E59" s="38" t="s">
        <v>82</v>
      </c>
      <c r="F59" s="38"/>
      <c r="G59" s="38"/>
      <c r="H59" s="42">
        <v>45561</v>
      </c>
      <c r="I59" s="43">
        <v>16200</v>
      </c>
      <c r="J59" s="38">
        <v>10</v>
      </c>
      <c r="K59" s="39">
        <v>0</v>
      </c>
      <c r="L59" s="54">
        <f>M59*P59</f>
        <v>1620</v>
      </c>
      <c r="M59" s="39">
        <f>(I59-K59)/J59</f>
        <v>1620</v>
      </c>
      <c r="N59" s="39">
        <f>I59-L59</f>
        <v>14580</v>
      </c>
      <c r="O59" s="38"/>
      <c r="P59" s="40">
        <v>1</v>
      </c>
    </row>
    <row r="60" spans="1:16" x14ac:dyDescent="0.25">
      <c r="A60" s="34">
        <v>304</v>
      </c>
      <c r="B60" s="38" t="s">
        <v>402</v>
      </c>
      <c r="C60" s="38">
        <v>8</v>
      </c>
      <c r="D60" s="38" t="s">
        <v>11</v>
      </c>
      <c r="E60" s="38" t="s">
        <v>101</v>
      </c>
      <c r="F60" s="38"/>
      <c r="G60" s="38"/>
      <c r="H60" s="42">
        <v>45562</v>
      </c>
      <c r="I60" s="43">
        <v>12272.72</v>
      </c>
      <c r="J60" s="38">
        <v>5</v>
      </c>
      <c r="K60" s="39">
        <v>1227.27</v>
      </c>
      <c r="L60" s="54">
        <f>M60*P60</f>
        <v>2209.0899999999997</v>
      </c>
      <c r="M60" s="39">
        <f>(I60-K60)/J60</f>
        <v>2209.0899999999997</v>
      </c>
      <c r="N60" s="39">
        <f>I60-L60</f>
        <v>10063.629999999999</v>
      </c>
      <c r="O60" s="72" t="s">
        <v>403</v>
      </c>
      <c r="P60" s="40">
        <v>1</v>
      </c>
    </row>
    <row r="61" spans="1:16" ht="30" x14ac:dyDescent="0.25">
      <c r="A61" s="34">
        <v>305</v>
      </c>
      <c r="B61" s="41" t="s">
        <v>404</v>
      </c>
      <c r="C61" s="38">
        <v>1</v>
      </c>
      <c r="D61" s="38" t="s">
        <v>11</v>
      </c>
      <c r="E61" s="38" t="s">
        <v>125</v>
      </c>
      <c r="F61" s="38"/>
      <c r="G61" s="38"/>
      <c r="H61" s="42">
        <v>45565</v>
      </c>
      <c r="I61" s="43">
        <v>1185</v>
      </c>
      <c r="J61" s="38">
        <v>5</v>
      </c>
      <c r="K61" s="39">
        <v>0</v>
      </c>
      <c r="L61" s="54">
        <f>M61*P61</f>
        <v>237</v>
      </c>
      <c r="M61" s="39">
        <f>(I61-K61)/J61</f>
        <v>237</v>
      </c>
      <c r="N61" s="39">
        <f>I61-L61</f>
        <v>948</v>
      </c>
      <c r="O61" s="38"/>
      <c r="P61" s="40">
        <v>1</v>
      </c>
    </row>
    <row r="62" spans="1:16" x14ac:dyDescent="0.25">
      <c r="A62" s="34">
        <v>306</v>
      </c>
      <c r="B62" s="38" t="s">
        <v>405</v>
      </c>
      <c r="C62" s="38">
        <v>1</v>
      </c>
      <c r="D62" s="38" t="s">
        <v>11</v>
      </c>
      <c r="E62" s="38" t="s">
        <v>35</v>
      </c>
      <c r="F62" s="38"/>
      <c r="G62" s="38"/>
      <c r="H62" s="42">
        <v>45565</v>
      </c>
      <c r="I62" s="43">
        <v>12770</v>
      </c>
      <c r="J62" s="38">
        <v>5</v>
      </c>
      <c r="K62" s="39">
        <v>1277</v>
      </c>
      <c r="L62" s="54">
        <f>M62*P62</f>
        <v>2298.6</v>
      </c>
      <c r="M62" s="39">
        <f>(I62-K62)/J62</f>
        <v>2298.6</v>
      </c>
      <c r="N62" s="39">
        <f>I62-L62</f>
        <v>10471.4</v>
      </c>
      <c r="O62" s="38"/>
      <c r="P62" s="40">
        <v>1</v>
      </c>
    </row>
    <row r="63" spans="1:16" x14ac:dyDescent="0.25">
      <c r="A63" s="34">
        <v>307</v>
      </c>
      <c r="B63" s="38" t="s">
        <v>336</v>
      </c>
      <c r="C63" s="38">
        <v>12</v>
      </c>
      <c r="D63" s="38" t="s">
        <v>9</v>
      </c>
      <c r="E63" s="38" t="s">
        <v>82</v>
      </c>
      <c r="F63" s="38"/>
      <c r="G63" s="38"/>
      <c r="H63" s="42">
        <v>45565</v>
      </c>
      <c r="I63" s="43">
        <v>60652</v>
      </c>
      <c r="J63" s="38">
        <v>10</v>
      </c>
      <c r="K63" s="39">
        <v>0</v>
      </c>
      <c r="L63" s="54">
        <f>M63*P63</f>
        <v>6065.2</v>
      </c>
      <c r="M63" s="39">
        <f>(I63-K63)/J63</f>
        <v>6065.2</v>
      </c>
      <c r="N63" s="39">
        <f>I63-L63</f>
        <v>54586.8</v>
      </c>
      <c r="O63" s="38" t="s">
        <v>407</v>
      </c>
      <c r="P63" s="40">
        <v>1</v>
      </c>
    </row>
    <row r="64" spans="1:16" ht="30" x14ac:dyDescent="0.25">
      <c r="A64" s="34">
        <v>308</v>
      </c>
      <c r="B64" s="41" t="s">
        <v>408</v>
      </c>
      <c r="C64" s="38">
        <v>3</v>
      </c>
      <c r="D64" s="38" t="s">
        <v>9</v>
      </c>
      <c r="E64" s="38" t="s">
        <v>82</v>
      </c>
      <c r="F64" s="38"/>
      <c r="G64" s="38"/>
      <c r="H64" s="42">
        <v>45565</v>
      </c>
      <c r="I64" s="43">
        <v>5040</v>
      </c>
      <c r="J64" s="38">
        <v>10</v>
      </c>
      <c r="K64" s="39">
        <v>0</v>
      </c>
      <c r="L64" s="54">
        <f>M64*P64</f>
        <v>504</v>
      </c>
      <c r="M64" s="39">
        <f>(I64-K64)/J64</f>
        <v>504</v>
      </c>
      <c r="N64" s="39">
        <f>I64-L64</f>
        <v>4536</v>
      </c>
      <c r="O64" s="38" t="s">
        <v>409</v>
      </c>
      <c r="P64" s="40">
        <v>1</v>
      </c>
    </row>
    <row r="65" spans="1:16" x14ac:dyDescent="0.25">
      <c r="A65" s="34">
        <v>309</v>
      </c>
      <c r="B65" s="38" t="s">
        <v>406</v>
      </c>
      <c r="C65" s="38">
        <v>1</v>
      </c>
      <c r="D65" s="38" t="s">
        <v>9</v>
      </c>
      <c r="E65" s="38" t="s">
        <v>57</v>
      </c>
      <c r="F65" s="38"/>
      <c r="G65" s="38"/>
      <c r="H65" s="42">
        <v>45566</v>
      </c>
      <c r="I65" s="43">
        <v>41800</v>
      </c>
      <c r="J65" s="38">
        <v>10</v>
      </c>
      <c r="K65" s="39">
        <v>4180</v>
      </c>
      <c r="L65" s="54">
        <f>M65*P65</f>
        <v>3762</v>
      </c>
      <c r="M65" s="39">
        <f>(I65-K65)/J65</f>
        <v>3762</v>
      </c>
      <c r="N65" s="39">
        <f>I65-L65</f>
        <v>38038</v>
      </c>
      <c r="O65" s="38"/>
      <c r="P65" s="40">
        <v>1</v>
      </c>
    </row>
    <row r="66" spans="1:16" ht="30" x14ac:dyDescent="0.25">
      <c r="A66" s="34">
        <v>310</v>
      </c>
      <c r="B66" s="41" t="s">
        <v>325</v>
      </c>
      <c r="C66" s="38">
        <v>1</v>
      </c>
      <c r="D66" s="38" t="s">
        <v>11</v>
      </c>
      <c r="E66" s="38" t="s">
        <v>201</v>
      </c>
      <c r="F66" s="38"/>
      <c r="G66" s="38"/>
      <c r="H66" s="42">
        <v>45568</v>
      </c>
      <c r="I66" s="43">
        <v>1165.45</v>
      </c>
      <c r="J66" s="38">
        <v>3</v>
      </c>
      <c r="K66" s="39">
        <v>0</v>
      </c>
      <c r="L66" s="54">
        <f>M66*P66</f>
        <v>388.48333333333335</v>
      </c>
      <c r="M66" s="39">
        <f>(I66-K66)/J66</f>
        <v>388.48333333333335</v>
      </c>
      <c r="N66" s="39">
        <f>I66-L66</f>
        <v>776.9666666666667</v>
      </c>
      <c r="O66" s="38"/>
      <c r="P66" s="40">
        <v>1</v>
      </c>
    </row>
    <row r="67" spans="1:16" x14ac:dyDescent="0.25">
      <c r="A67" s="34">
        <v>311</v>
      </c>
      <c r="B67" s="41" t="s">
        <v>358</v>
      </c>
      <c r="C67" s="38">
        <v>4</v>
      </c>
      <c r="D67" s="38" t="s">
        <v>11</v>
      </c>
      <c r="E67" s="38" t="s">
        <v>125</v>
      </c>
      <c r="F67" s="38"/>
      <c r="G67" s="38"/>
      <c r="H67" s="42">
        <v>45568</v>
      </c>
      <c r="I67" s="43">
        <v>4435.2</v>
      </c>
      <c r="J67" s="38">
        <v>5</v>
      </c>
      <c r="K67" s="39">
        <v>0</v>
      </c>
      <c r="L67" s="54">
        <f>M67*P67</f>
        <v>887.04</v>
      </c>
      <c r="M67" s="39">
        <f>(I67-K67)/J67</f>
        <v>887.04</v>
      </c>
      <c r="N67" s="39">
        <f>I67-L67</f>
        <v>3548.16</v>
      </c>
      <c r="O67" s="38" t="s">
        <v>359</v>
      </c>
      <c r="P67" s="40">
        <v>1</v>
      </c>
    </row>
    <row r="68" spans="1:16" x14ac:dyDescent="0.25">
      <c r="A68" s="34">
        <v>312</v>
      </c>
      <c r="B68" s="41" t="s">
        <v>412</v>
      </c>
      <c r="C68" s="38">
        <v>1</v>
      </c>
      <c r="D68" s="38" t="s">
        <v>9</v>
      </c>
      <c r="E68" s="38" t="s">
        <v>413</v>
      </c>
      <c r="F68" s="38"/>
      <c r="G68" s="38"/>
      <c r="H68" s="42">
        <v>45573</v>
      </c>
      <c r="I68" s="43">
        <v>211384</v>
      </c>
      <c r="J68" s="38">
        <v>5</v>
      </c>
      <c r="K68" s="39">
        <v>21138.400000000001</v>
      </c>
      <c r="L68" s="54">
        <f>M68*P68</f>
        <v>38049.120000000003</v>
      </c>
      <c r="M68" s="39">
        <f>(I68-K68)/J68</f>
        <v>38049.120000000003</v>
      </c>
      <c r="N68" s="39">
        <f>I68-L68</f>
        <v>173334.88</v>
      </c>
      <c r="O68" s="92"/>
      <c r="P68" s="40">
        <v>1</v>
      </c>
    </row>
    <row r="69" spans="1:16" x14ac:dyDescent="0.25">
      <c r="A69" s="34">
        <v>313</v>
      </c>
      <c r="B69" s="41" t="s">
        <v>410</v>
      </c>
      <c r="C69" s="38">
        <v>1</v>
      </c>
      <c r="D69" s="38" t="s">
        <v>8</v>
      </c>
      <c r="E69" s="38" t="s">
        <v>92</v>
      </c>
      <c r="F69" s="38"/>
      <c r="G69" s="38"/>
      <c r="H69" s="42">
        <v>45575</v>
      </c>
      <c r="I69" s="43">
        <v>1090</v>
      </c>
      <c r="J69" s="38">
        <v>3</v>
      </c>
      <c r="K69" s="39">
        <v>0</v>
      </c>
      <c r="L69" s="54">
        <f>M69*P69</f>
        <v>363.33333333333331</v>
      </c>
      <c r="M69" s="39">
        <f>(I69-K69)/J69</f>
        <v>363.33333333333331</v>
      </c>
      <c r="N69" s="39">
        <f>I69-L69</f>
        <v>726.66666666666674</v>
      </c>
      <c r="O69" s="97" t="s">
        <v>411</v>
      </c>
      <c r="P69" s="40">
        <v>1</v>
      </c>
    </row>
    <row r="70" spans="1:16" x14ac:dyDescent="0.25">
      <c r="A70" s="34">
        <v>314</v>
      </c>
      <c r="B70" s="41" t="s">
        <v>414</v>
      </c>
      <c r="C70" s="38">
        <v>2</v>
      </c>
      <c r="D70" s="38" t="s">
        <v>11</v>
      </c>
      <c r="E70" s="38" t="s">
        <v>82</v>
      </c>
      <c r="F70" s="38"/>
      <c r="G70" s="38"/>
      <c r="H70" s="42">
        <v>45581</v>
      </c>
      <c r="I70" s="43">
        <v>30860</v>
      </c>
      <c r="J70" s="38">
        <v>10</v>
      </c>
      <c r="K70" s="39">
        <v>0</v>
      </c>
      <c r="L70" s="54">
        <f>M70*P70</f>
        <v>3086</v>
      </c>
      <c r="M70" s="39">
        <f>(I70-K70)/J70</f>
        <v>3086</v>
      </c>
      <c r="N70" s="39">
        <f>I70-L70</f>
        <v>27774</v>
      </c>
      <c r="O70" s="38" t="s">
        <v>415</v>
      </c>
      <c r="P70" s="40">
        <v>1</v>
      </c>
    </row>
    <row r="71" spans="1:16" x14ac:dyDescent="0.25">
      <c r="A71" s="34">
        <v>315</v>
      </c>
      <c r="B71" s="41" t="s">
        <v>431</v>
      </c>
      <c r="C71" s="38">
        <v>1</v>
      </c>
      <c r="D71" s="38" t="s">
        <v>11</v>
      </c>
      <c r="E71" s="38" t="s">
        <v>318</v>
      </c>
      <c r="F71" s="38"/>
      <c r="G71" s="38"/>
      <c r="H71" s="42">
        <v>45586</v>
      </c>
      <c r="I71" s="43">
        <v>3990</v>
      </c>
      <c r="J71" s="38">
        <v>5</v>
      </c>
      <c r="K71" s="39">
        <v>0</v>
      </c>
      <c r="L71" s="54">
        <f>M71*P71</f>
        <v>798</v>
      </c>
      <c r="M71" s="39">
        <f>(I71-K71)/J71</f>
        <v>798</v>
      </c>
      <c r="N71" s="39">
        <f>I71-L71</f>
        <v>3192</v>
      </c>
      <c r="O71" s="38"/>
      <c r="P71" s="40">
        <v>1</v>
      </c>
    </row>
    <row r="72" spans="1:16" x14ac:dyDescent="0.25">
      <c r="A72" s="34">
        <v>316</v>
      </c>
      <c r="B72" s="41" t="s">
        <v>419</v>
      </c>
      <c r="C72" s="38">
        <v>1</v>
      </c>
      <c r="D72" s="38" t="s">
        <v>9</v>
      </c>
      <c r="E72" s="38" t="s">
        <v>399</v>
      </c>
      <c r="F72" s="38"/>
      <c r="G72" s="38"/>
      <c r="H72" s="42">
        <v>45587</v>
      </c>
      <c r="I72" s="43">
        <v>15000</v>
      </c>
      <c r="J72" s="38">
        <v>10</v>
      </c>
      <c r="K72" s="39">
        <v>1500</v>
      </c>
      <c r="L72" s="54">
        <f>M72*P72</f>
        <v>1350</v>
      </c>
      <c r="M72" s="39">
        <f>(I72-K72)/J72</f>
        <v>1350</v>
      </c>
      <c r="N72" s="39">
        <f>I72-L72</f>
        <v>13650</v>
      </c>
      <c r="O72" s="38"/>
      <c r="P72" s="40">
        <v>1</v>
      </c>
    </row>
    <row r="73" spans="1:16" x14ac:dyDescent="0.25">
      <c r="A73" s="34">
        <v>317</v>
      </c>
      <c r="B73" s="41" t="s">
        <v>416</v>
      </c>
      <c r="C73" s="38">
        <v>1</v>
      </c>
      <c r="D73" s="38" t="s">
        <v>11</v>
      </c>
      <c r="E73" s="38" t="s">
        <v>125</v>
      </c>
      <c r="F73" s="38"/>
      <c r="G73" s="38"/>
      <c r="H73" s="42">
        <v>45589</v>
      </c>
      <c r="I73" s="43">
        <v>9400</v>
      </c>
      <c r="J73" s="38">
        <v>5</v>
      </c>
      <c r="K73" s="39">
        <v>0</v>
      </c>
      <c r="L73" s="54">
        <f>M73*P73</f>
        <v>1880</v>
      </c>
      <c r="M73" s="39">
        <f>(I73-K73)/J73</f>
        <v>1880</v>
      </c>
      <c r="N73" s="39">
        <f>I73-L73</f>
        <v>7520</v>
      </c>
      <c r="O73" s="38"/>
      <c r="P73" s="40">
        <v>1</v>
      </c>
    </row>
    <row r="74" spans="1:16" x14ac:dyDescent="0.25">
      <c r="A74" s="34">
        <v>318</v>
      </c>
      <c r="B74" s="41" t="s">
        <v>417</v>
      </c>
      <c r="C74" s="38">
        <v>1</v>
      </c>
      <c r="D74" s="38" t="s">
        <v>11</v>
      </c>
      <c r="E74" s="38" t="s">
        <v>125</v>
      </c>
      <c r="F74" s="38"/>
      <c r="G74" s="38"/>
      <c r="H74" s="42">
        <v>45589</v>
      </c>
      <c r="I74" s="43">
        <v>20540</v>
      </c>
      <c r="J74" s="38">
        <v>5</v>
      </c>
      <c r="K74" s="39">
        <v>0</v>
      </c>
      <c r="L74" s="54">
        <f>M74*P74</f>
        <v>4108</v>
      </c>
      <c r="M74" s="39">
        <f>(I74-K74)/J74</f>
        <v>4108</v>
      </c>
      <c r="N74" s="39">
        <f>I74-L74</f>
        <v>16432</v>
      </c>
      <c r="O74" s="38"/>
      <c r="P74" s="40">
        <v>1</v>
      </c>
    </row>
    <row r="75" spans="1:16" ht="30" x14ac:dyDescent="0.25">
      <c r="A75" s="34">
        <v>319</v>
      </c>
      <c r="B75" s="41" t="s">
        <v>418</v>
      </c>
      <c r="C75" s="38">
        <v>1</v>
      </c>
      <c r="D75" s="38" t="s">
        <v>11</v>
      </c>
      <c r="E75" s="38" t="s">
        <v>125</v>
      </c>
      <c r="F75" s="38"/>
      <c r="G75" s="38"/>
      <c r="H75" s="42">
        <v>45589</v>
      </c>
      <c r="I75" s="43">
        <v>9265</v>
      </c>
      <c r="J75" s="38">
        <v>5</v>
      </c>
      <c r="K75" s="39">
        <v>0</v>
      </c>
      <c r="L75" s="54">
        <f>M75*P75</f>
        <v>1853</v>
      </c>
      <c r="M75" s="39">
        <f>(I75-K75)/J75</f>
        <v>1853</v>
      </c>
      <c r="N75" s="39">
        <f>I75-L75</f>
        <v>7412</v>
      </c>
      <c r="O75" s="38"/>
      <c r="P75" s="40">
        <v>1</v>
      </c>
    </row>
    <row r="76" spans="1:16" x14ac:dyDescent="0.25">
      <c r="A76" s="34">
        <v>320</v>
      </c>
      <c r="B76" s="38" t="s">
        <v>444</v>
      </c>
      <c r="C76" s="38">
        <v>6</v>
      </c>
      <c r="D76" s="38" t="s">
        <v>11</v>
      </c>
      <c r="E76" s="38" t="s">
        <v>31</v>
      </c>
      <c r="F76" s="38"/>
      <c r="G76" s="38" t="s">
        <v>447</v>
      </c>
      <c r="H76" s="42">
        <v>45594</v>
      </c>
      <c r="I76" s="43">
        <v>8134.8</v>
      </c>
      <c r="J76" s="38">
        <v>5</v>
      </c>
      <c r="K76" s="39">
        <v>0</v>
      </c>
      <c r="L76" s="54">
        <f>M76*P76</f>
        <v>1626.96</v>
      </c>
      <c r="M76" s="39">
        <f>(I76-K76)/J76</f>
        <v>1626.96</v>
      </c>
      <c r="N76" s="39">
        <f>I76-L76</f>
        <v>6507.84</v>
      </c>
      <c r="O76" s="38" t="s">
        <v>446</v>
      </c>
      <c r="P76" s="40">
        <v>1</v>
      </c>
    </row>
    <row r="77" spans="1:16" x14ac:dyDescent="0.25">
      <c r="A77" s="34">
        <v>321</v>
      </c>
      <c r="B77" s="41" t="s">
        <v>420</v>
      </c>
      <c r="C77" s="38">
        <v>1</v>
      </c>
      <c r="D77" s="38" t="s">
        <v>11</v>
      </c>
      <c r="E77" s="38" t="s">
        <v>197</v>
      </c>
      <c r="F77" s="38"/>
      <c r="G77" s="38"/>
      <c r="H77" s="42">
        <v>45595</v>
      </c>
      <c r="I77" s="43">
        <v>107540</v>
      </c>
      <c r="J77" s="38">
        <v>5</v>
      </c>
      <c r="K77" s="39">
        <v>0</v>
      </c>
      <c r="L77" s="54">
        <f>M77*P77</f>
        <v>21508</v>
      </c>
      <c r="M77" s="39">
        <f>(I77-K77)/J77</f>
        <v>21508</v>
      </c>
      <c r="N77" s="39">
        <f>I77-L77</f>
        <v>86032</v>
      </c>
      <c r="O77" s="38"/>
      <c r="P77" s="40">
        <v>1</v>
      </c>
    </row>
    <row r="78" spans="1:16" x14ac:dyDescent="0.25">
      <c r="A78" s="34">
        <v>322</v>
      </c>
      <c r="B78" s="41" t="s">
        <v>421</v>
      </c>
      <c r="C78" s="38">
        <v>1</v>
      </c>
      <c r="D78" s="38" t="s">
        <v>11</v>
      </c>
      <c r="E78" s="38" t="s">
        <v>197</v>
      </c>
      <c r="F78" s="38"/>
      <c r="G78" s="38"/>
      <c r="H78" s="42">
        <v>45595</v>
      </c>
      <c r="I78" s="43">
        <v>55094</v>
      </c>
      <c r="J78" s="38">
        <v>5</v>
      </c>
      <c r="K78" s="39">
        <v>0</v>
      </c>
      <c r="L78" s="54">
        <f>M78*P78</f>
        <v>11018.8</v>
      </c>
      <c r="M78" s="39">
        <f>(I78-K78)/J78</f>
        <v>11018.8</v>
      </c>
      <c r="N78" s="39">
        <f>I78-L78</f>
        <v>44075.199999999997</v>
      </c>
      <c r="O78" s="38" t="s">
        <v>422</v>
      </c>
      <c r="P78" s="40">
        <v>1</v>
      </c>
    </row>
    <row r="79" spans="1:16" ht="30" x14ac:dyDescent="0.25">
      <c r="A79" s="34">
        <v>323</v>
      </c>
      <c r="B79" s="41" t="s">
        <v>424</v>
      </c>
      <c r="C79" s="38">
        <v>1</v>
      </c>
      <c r="D79" s="38" t="s">
        <v>11</v>
      </c>
      <c r="E79" s="38" t="s">
        <v>125</v>
      </c>
      <c r="F79" s="38"/>
      <c r="G79" s="38"/>
      <c r="H79" s="42">
        <v>45596</v>
      </c>
      <c r="I79" s="43">
        <v>2430</v>
      </c>
      <c r="J79" s="38">
        <v>5</v>
      </c>
      <c r="K79" s="39">
        <v>0</v>
      </c>
      <c r="L79" s="54">
        <f>M79*P79</f>
        <v>486</v>
      </c>
      <c r="M79" s="39">
        <f>(I79-K79)/J79</f>
        <v>486</v>
      </c>
      <c r="N79" s="39">
        <f>I79-L79</f>
        <v>1944</v>
      </c>
      <c r="O79" s="38"/>
      <c r="P79" s="40">
        <v>1</v>
      </c>
    </row>
    <row r="80" spans="1:16" x14ac:dyDescent="0.25">
      <c r="A80" s="34">
        <v>324</v>
      </c>
      <c r="B80" s="41" t="s">
        <v>425</v>
      </c>
      <c r="C80" s="38">
        <v>1</v>
      </c>
      <c r="D80" s="38" t="s">
        <v>11</v>
      </c>
      <c r="E80" s="38" t="s">
        <v>125</v>
      </c>
      <c r="F80" s="38"/>
      <c r="G80" s="38"/>
      <c r="H80" s="42">
        <v>45596</v>
      </c>
      <c r="I80" s="43">
        <v>1245</v>
      </c>
      <c r="J80" s="38">
        <v>5</v>
      </c>
      <c r="K80" s="39">
        <v>0</v>
      </c>
      <c r="L80" s="54">
        <f>M80*P80</f>
        <v>249</v>
      </c>
      <c r="M80" s="39">
        <f>(I80-K80)/J80</f>
        <v>249</v>
      </c>
      <c r="N80" s="39">
        <f>I80-L80</f>
        <v>996</v>
      </c>
      <c r="O80" s="38"/>
      <c r="P80" s="40">
        <v>1</v>
      </c>
    </row>
    <row r="81" spans="1:16" x14ac:dyDescent="0.25">
      <c r="A81" s="34">
        <v>325</v>
      </c>
      <c r="B81" s="41" t="s">
        <v>426</v>
      </c>
      <c r="C81" s="38">
        <v>1</v>
      </c>
      <c r="D81" s="38" t="s">
        <v>11</v>
      </c>
      <c r="E81" s="38" t="s">
        <v>125</v>
      </c>
      <c r="F81" s="38"/>
      <c r="G81" s="38"/>
      <c r="H81" s="42">
        <v>45596</v>
      </c>
      <c r="I81" s="43">
        <v>1355</v>
      </c>
      <c r="J81" s="38">
        <v>5</v>
      </c>
      <c r="K81" s="39">
        <v>0</v>
      </c>
      <c r="L81" s="54">
        <f>M81*P81</f>
        <v>271</v>
      </c>
      <c r="M81" s="39">
        <f>(I81-K81)/J81</f>
        <v>271</v>
      </c>
      <c r="N81" s="39">
        <f>I81-L81</f>
        <v>1084</v>
      </c>
      <c r="O81" s="38"/>
      <c r="P81" s="40">
        <v>1</v>
      </c>
    </row>
    <row r="82" spans="1:16" x14ac:dyDescent="0.25">
      <c r="A82" s="34">
        <v>326</v>
      </c>
      <c r="B82" s="41" t="s">
        <v>427</v>
      </c>
      <c r="C82" s="38">
        <v>1</v>
      </c>
      <c r="D82" s="38" t="s">
        <v>11</v>
      </c>
      <c r="E82" s="38" t="s">
        <v>125</v>
      </c>
      <c r="F82" s="38"/>
      <c r="G82" s="38"/>
      <c r="H82" s="42">
        <v>45596</v>
      </c>
      <c r="I82" s="43">
        <v>1995</v>
      </c>
      <c r="J82" s="38">
        <v>5</v>
      </c>
      <c r="K82" s="39">
        <v>0</v>
      </c>
      <c r="L82" s="54">
        <f>M82*P82</f>
        <v>399</v>
      </c>
      <c r="M82" s="39">
        <f>(I82-K82)/J82</f>
        <v>399</v>
      </c>
      <c r="N82" s="39">
        <f>I82-L82</f>
        <v>1596</v>
      </c>
      <c r="O82" s="38"/>
      <c r="P82" s="40">
        <v>1</v>
      </c>
    </row>
    <row r="83" spans="1:16" x14ac:dyDescent="0.25">
      <c r="A83" s="34">
        <v>327</v>
      </c>
      <c r="B83" s="41" t="s">
        <v>423</v>
      </c>
      <c r="C83" s="38">
        <v>8</v>
      </c>
      <c r="D83" s="38" t="s">
        <v>11</v>
      </c>
      <c r="E83" s="38" t="s">
        <v>135</v>
      </c>
      <c r="F83" s="38"/>
      <c r="G83" s="38"/>
      <c r="H83" s="42">
        <v>45597</v>
      </c>
      <c r="I83" s="43">
        <v>4359.2</v>
      </c>
      <c r="J83" s="38">
        <v>5</v>
      </c>
      <c r="K83" s="39">
        <v>0</v>
      </c>
      <c r="L83" s="54">
        <f>M83*P83</f>
        <v>871.83999999999992</v>
      </c>
      <c r="M83" s="39">
        <f>(I83-K83)/J83</f>
        <v>871.83999999999992</v>
      </c>
      <c r="N83" s="39">
        <f>I83-L83</f>
        <v>3487.3599999999997</v>
      </c>
      <c r="O83" s="38"/>
      <c r="P83" s="40">
        <v>1</v>
      </c>
    </row>
    <row r="84" spans="1:16" x14ac:dyDescent="0.25">
      <c r="A84" s="34">
        <v>328</v>
      </c>
      <c r="B84" s="41" t="s">
        <v>358</v>
      </c>
      <c r="C84" s="38">
        <v>2</v>
      </c>
      <c r="D84" s="38" t="s">
        <v>11</v>
      </c>
      <c r="E84" s="38" t="s">
        <v>135</v>
      </c>
      <c r="F84" s="38"/>
      <c r="G84" s="38"/>
      <c r="H84" s="42">
        <v>45597</v>
      </c>
      <c r="I84" s="43">
        <v>2217.6</v>
      </c>
      <c r="J84" s="38">
        <v>5</v>
      </c>
      <c r="K84" s="39">
        <v>0</v>
      </c>
      <c r="L84" s="54">
        <f>M84*P84</f>
        <v>443.52</v>
      </c>
      <c r="M84" s="39">
        <f>(I84-K84)/J84</f>
        <v>443.52</v>
      </c>
      <c r="N84" s="39">
        <f>I84-L84</f>
        <v>1774.08</v>
      </c>
      <c r="O84" s="38"/>
      <c r="P84" s="40">
        <v>1</v>
      </c>
    </row>
    <row r="85" spans="1:16" x14ac:dyDescent="0.25">
      <c r="A85" s="34">
        <v>329</v>
      </c>
      <c r="B85" s="41" t="s">
        <v>140</v>
      </c>
      <c r="C85" s="38">
        <v>1</v>
      </c>
      <c r="D85" s="38" t="s">
        <v>11</v>
      </c>
      <c r="E85" s="38" t="s">
        <v>135</v>
      </c>
      <c r="F85" s="38"/>
      <c r="G85" s="38"/>
      <c r="H85" s="42">
        <v>45597</v>
      </c>
      <c r="I85" s="43">
        <v>1050</v>
      </c>
      <c r="J85" s="38">
        <v>5</v>
      </c>
      <c r="K85" s="39">
        <v>0</v>
      </c>
      <c r="L85" s="54">
        <f>M85*P85</f>
        <v>210</v>
      </c>
      <c r="M85" s="39">
        <f>(I85-K85)/J85</f>
        <v>210</v>
      </c>
      <c r="N85" s="39">
        <f>I85-L85</f>
        <v>840</v>
      </c>
      <c r="O85" s="38"/>
      <c r="P85" s="40">
        <v>1</v>
      </c>
    </row>
    <row r="86" spans="1:16" x14ac:dyDescent="0.25">
      <c r="A86" s="34">
        <v>330</v>
      </c>
      <c r="B86" s="41" t="s">
        <v>428</v>
      </c>
      <c r="C86" s="38">
        <v>1</v>
      </c>
      <c r="D86" s="38" t="s">
        <v>11</v>
      </c>
      <c r="E86" s="38" t="s">
        <v>262</v>
      </c>
      <c r="F86" s="38"/>
      <c r="G86" s="38" t="s">
        <v>429</v>
      </c>
      <c r="H86" s="42">
        <v>45602</v>
      </c>
      <c r="I86" s="43">
        <v>2500</v>
      </c>
      <c r="J86" s="38">
        <v>5</v>
      </c>
      <c r="K86" s="39">
        <v>0</v>
      </c>
      <c r="L86" s="54">
        <f>M86*P86</f>
        <v>500</v>
      </c>
      <c r="M86" s="39">
        <f>(I86-K86)/J86</f>
        <v>500</v>
      </c>
      <c r="N86" s="39">
        <f>I86-L86</f>
        <v>2000</v>
      </c>
      <c r="O86" s="38"/>
      <c r="P86" s="40">
        <v>1</v>
      </c>
    </row>
    <row r="87" spans="1:16" x14ac:dyDescent="0.25">
      <c r="A87" s="34">
        <v>331</v>
      </c>
      <c r="B87" s="41" t="s">
        <v>428</v>
      </c>
      <c r="C87" s="38">
        <v>1</v>
      </c>
      <c r="D87" s="38" t="s">
        <v>11</v>
      </c>
      <c r="E87" s="38" t="s">
        <v>262</v>
      </c>
      <c r="F87" s="38"/>
      <c r="G87" s="38" t="s">
        <v>430</v>
      </c>
      <c r="H87" s="42">
        <v>45602</v>
      </c>
      <c r="I87" s="43">
        <v>2500</v>
      </c>
      <c r="J87" s="38">
        <v>5</v>
      </c>
      <c r="K87" s="39">
        <v>0</v>
      </c>
      <c r="L87" s="54">
        <f>M87*P87</f>
        <v>500</v>
      </c>
      <c r="M87" s="39">
        <f>(I87-K87)/J87</f>
        <v>500</v>
      </c>
      <c r="N87" s="39">
        <f>I87-L87</f>
        <v>2000</v>
      </c>
      <c r="O87" s="38"/>
      <c r="P87" s="40">
        <v>1</v>
      </c>
    </row>
    <row r="88" spans="1:16" x14ac:dyDescent="0.25">
      <c r="A88" s="34">
        <v>332</v>
      </c>
      <c r="B88" s="38" t="s">
        <v>444</v>
      </c>
      <c r="C88" s="38">
        <v>4</v>
      </c>
      <c r="D88" s="38" t="s">
        <v>11</v>
      </c>
      <c r="E88" s="38" t="s">
        <v>31</v>
      </c>
      <c r="F88" s="38"/>
      <c r="G88" s="38" t="s">
        <v>445</v>
      </c>
      <c r="H88" s="42">
        <v>45605</v>
      </c>
      <c r="I88" s="43">
        <v>5423.2</v>
      </c>
      <c r="J88" s="38">
        <v>5</v>
      </c>
      <c r="K88" s="39">
        <v>0</v>
      </c>
      <c r="L88" s="54">
        <f>M88*P88</f>
        <v>1084.6399999999999</v>
      </c>
      <c r="M88" s="39">
        <f>(I88-K88)/J88</f>
        <v>1084.6399999999999</v>
      </c>
      <c r="N88" s="39">
        <f>I88-L88</f>
        <v>4338.5599999999995</v>
      </c>
      <c r="O88" s="38" t="s">
        <v>446</v>
      </c>
      <c r="P88" s="40">
        <v>1</v>
      </c>
    </row>
    <row r="89" spans="1:16" x14ac:dyDescent="0.25">
      <c r="A89" s="34">
        <v>333</v>
      </c>
      <c r="B89" s="41" t="s">
        <v>432</v>
      </c>
      <c r="C89" s="38">
        <v>1</v>
      </c>
      <c r="D89" s="38" t="s">
        <v>11</v>
      </c>
      <c r="E89" s="38" t="s">
        <v>108</v>
      </c>
      <c r="F89" s="38"/>
      <c r="G89" s="38"/>
      <c r="H89" s="42">
        <v>45608</v>
      </c>
      <c r="I89" s="43">
        <v>1149</v>
      </c>
      <c r="J89" s="38">
        <v>5</v>
      </c>
      <c r="K89" s="39">
        <v>0</v>
      </c>
      <c r="L89" s="54">
        <f>M89*P89</f>
        <v>229.8</v>
      </c>
      <c r="M89" s="39">
        <f>(I89-K89)/J89</f>
        <v>229.8</v>
      </c>
      <c r="N89" s="39">
        <f>I89-L89</f>
        <v>919.2</v>
      </c>
      <c r="O89" s="38"/>
      <c r="P89" s="40">
        <v>1</v>
      </c>
    </row>
    <row r="90" spans="1:16" ht="45" x14ac:dyDescent="0.25">
      <c r="A90" s="34">
        <v>334</v>
      </c>
      <c r="B90" s="41" t="s">
        <v>433</v>
      </c>
      <c r="C90" s="38">
        <v>1</v>
      </c>
      <c r="D90" s="38" t="s">
        <v>8</v>
      </c>
      <c r="E90" s="38" t="s">
        <v>92</v>
      </c>
      <c r="F90" s="38"/>
      <c r="G90" s="38"/>
      <c r="H90" s="42">
        <v>45609</v>
      </c>
      <c r="I90" s="43">
        <v>2740.91</v>
      </c>
      <c r="J90" s="38">
        <v>3</v>
      </c>
      <c r="K90" s="39">
        <v>0</v>
      </c>
      <c r="L90" s="54">
        <f>M90*P90</f>
        <v>913.63666666666666</v>
      </c>
      <c r="M90" s="39">
        <f>(I90-K90)/J90</f>
        <v>913.63666666666666</v>
      </c>
      <c r="N90" s="39">
        <f>I90-L90</f>
        <v>1827.2733333333331</v>
      </c>
      <c r="O90" s="38" t="s">
        <v>434</v>
      </c>
      <c r="P90" s="40">
        <v>1</v>
      </c>
    </row>
    <row r="91" spans="1:16" x14ac:dyDescent="0.25">
      <c r="A91" s="34">
        <v>335</v>
      </c>
      <c r="B91" s="41" t="s">
        <v>435</v>
      </c>
      <c r="C91" s="38">
        <v>2</v>
      </c>
      <c r="D91" s="38" t="s">
        <v>8</v>
      </c>
      <c r="E91" s="38" t="s">
        <v>92</v>
      </c>
      <c r="F91" s="38"/>
      <c r="G91" s="38"/>
      <c r="H91" s="42">
        <v>45609</v>
      </c>
      <c r="I91" s="43">
        <v>2649.09</v>
      </c>
      <c r="J91" s="38">
        <v>3</v>
      </c>
      <c r="K91" s="39">
        <v>0</v>
      </c>
      <c r="L91" s="54">
        <f>M91*P91</f>
        <v>883.03000000000009</v>
      </c>
      <c r="M91" s="39">
        <f>(I91-K91)/J91</f>
        <v>883.03000000000009</v>
      </c>
      <c r="N91" s="39">
        <f>I91-L91</f>
        <v>1766.06</v>
      </c>
      <c r="O91" s="38" t="s">
        <v>436</v>
      </c>
      <c r="P91" s="40">
        <v>1</v>
      </c>
    </row>
    <row r="92" spans="1:16" ht="45" x14ac:dyDescent="0.25">
      <c r="A92" s="34">
        <v>336</v>
      </c>
      <c r="B92" s="41" t="s">
        <v>437</v>
      </c>
      <c r="C92" s="38">
        <v>1</v>
      </c>
      <c r="D92" s="38" t="s">
        <v>11</v>
      </c>
      <c r="E92" s="38" t="s">
        <v>125</v>
      </c>
      <c r="F92" s="38"/>
      <c r="G92" s="38"/>
      <c r="H92" s="42">
        <v>45611</v>
      </c>
      <c r="I92" s="43">
        <v>22985</v>
      </c>
      <c r="J92" s="38">
        <v>5</v>
      </c>
      <c r="K92" s="39">
        <v>0</v>
      </c>
      <c r="L92" s="54">
        <f>M92*P92</f>
        <v>4597</v>
      </c>
      <c r="M92" s="39">
        <f>(I92-K92)/J92</f>
        <v>4597</v>
      </c>
      <c r="N92" s="39">
        <f>I92-L92</f>
        <v>18388</v>
      </c>
      <c r="O92" s="38"/>
      <c r="P92" s="40">
        <v>1</v>
      </c>
    </row>
    <row r="93" spans="1:16" x14ac:dyDescent="0.25">
      <c r="A93" s="34">
        <v>337</v>
      </c>
      <c r="B93" s="41" t="s">
        <v>396</v>
      </c>
      <c r="C93" s="38">
        <v>1</v>
      </c>
      <c r="D93" s="38" t="s">
        <v>9</v>
      </c>
      <c r="E93" s="38" t="s">
        <v>397</v>
      </c>
      <c r="F93" s="38"/>
      <c r="G93" s="38"/>
      <c r="H93" s="42">
        <v>45611</v>
      </c>
      <c r="I93" s="43">
        <v>45089.73</v>
      </c>
      <c r="J93" s="38">
        <v>10</v>
      </c>
      <c r="K93" s="39">
        <v>0</v>
      </c>
      <c r="L93" s="54">
        <f>M93*P93</f>
        <v>4508.973</v>
      </c>
      <c r="M93" s="39">
        <f>(I93-K93)/J93</f>
        <v>4508.973</v>
      </c>
      <c r="N93" s="39">
        <f>I93-L93</f>
        <v>40580.757000000005</v>
      </c>
      <c r="O93" s="38"/>
      <c r="P93" s="40">
        <v>1</v>
      </c>
    </row>
    <row r="94" spans="1:16" x14ac:dyDescent="0.25">
      <c r="A94" s="34">
        <v>338</v>
      </c>
      <c r="B94" s="38" t="s">
        <v>48</v>
      </c>
      <c r="C94" s="38">
        <v>30</v>
      </c>
      <c r="D94" s="38" t="s">
        <v>11</v>
      </c>
      <c r="E94" s="38" t="s">
        <v>35</v>
      </c>
      <c r="F94" s="38"/>
      <c r="G94" s="38"/>
      <c r="H94" s="42">
        <v>45621</v>
      </c>
      <c r="I94" s="43">
        <v>27830.7</v>
      </c>
      <c r="J94" s="38">
        <v>4</v>
      </c>
      <c r="K94" s="39">
        <v>2783.07</v>
      </c>
      <c r="L94" s="54">
        <f>M94*P94</f>
        <v>6261.9075000000003</v>
      </c>
      <c r="M94" s="39">
        <f>(I94-K94)/J94</f>
        <v>6261.9075000000003</v>
      </c>
      <c r="N94" s="39">
        <f>I94-L94</f>
        <v>21568.7925</v>
      </c>
      <c r="O94" s="38" t="s">
        <v>247</v>
      </c>
      <c r="P94" s="40">
        <v>1</v>
      </c>
    </row>
    <row r="95" spans="1:16" x14ac:dyDescent="0.25">
      <c r="A95" s="34">
        <v>339</v>
      </c>
      <c r="B95" s="38" t="s">
        <v>50</v>
      </c>
      <c r="C95" s="38">
        <v>15</v>
      </c>
      <c r="D95" s="38" t="s">
        <v>11</v>
      </c>
      <c r="E95" s="38" t="s">
        <v>35</v>
      </c>
      <c r="F95" s="38"/>
      <c r="G95" s="38"/>
      <c r="H95" s="42">
        <v>45621</v>
      </c>
      <c r="I95" s="43">
        <v>15950.55</v>
      </c>
      <c r="J95" s="38">
        <v>4</v>
      </c>
      <c r="K95" s="39">
        <v>1590.05</v>
      </c>
      <c r="L95" s="54">
        <f>M95*P95</f>
        <v>3590.125</v>
      </c>
      <c r="M95" s="39">
        <f>(I95-K95)/J95</f>
        <v>3590.125</v>
      </c>
      <c r="N95" s="39">
        <f>I95-L95</f>
        <v>12360.424999999999</v>
      </c>
      <c r="O95" s="72" t="s">
        <v>441</v>
      </c>
      <c r="P95" s="40">
        <v>1</v>
      </c>
    </row>
    <row r="96" spans="1:16" x14ac:dyDescent="0.25">
      <c r="A96" s="34">
        <v>340</v>
      </c>
      <c r="B96" s="38" t="s">
        <v>52</v>
      </c>
      <c r="C96" s="38">
        <v>10</v>
      </c>
      <c r="D96" s="38" t="s">
        <v>11</v>
      </c>
      <c r="E96" s="38" t="s">
        <v>35</v>
      </c>
      <c r="F96" s="38"/>
      <c r="G96" s="38"/>
      <c r="H96" s="42">
        <v>45621</v>
      </c>
      <c r="I96" s="43">
        <v>15398.6</v>
      </c>
      <c r="J96" s="38">
        <v>4</v>
      </c>
      <c r="K96" s="39">
        <v>1539.86</v>
      </c>
      <c r="L96" s="54">
        <f>M96*P96</f>
        <v>3464.6849999999999</v>
      </c>
      <c r="M96" s="39">
        <f>(I96-K96)/J96</f>
        <v>3464.6849999999999</v>
      </c>
      <c r="N96" s="39">
        <f>I96-L96</f>
        <v>11933.915000000001</v>
      </c>
      <c r="O96" s="38" t="s">
        <v>249</v>
      </c>
      <c r="P96" s="40">
        <v>1</v>
      </c>
    </row>
    <row r="97" spans="1:16" x14ac:dyDescent="0.25">
      <c r="A97" s="34">
        <v>341</v>
      </c>
      <c r="B97" s="38" t="s">
        <v>36</v>
      </c>
      <c r="C97" s="38">
        <v>200</v>
      </c>
      <c r="D97" s="38" t="s">
        <v>11</v>
      </c>
      <c r="E97" s="38" t="s">
        <v>35</v>
      </c>
      <c r="F97" s="38"/>
      <c r="G97" s="38"/>
      <c r="H97" s="42">
        <v>45621</v>
      </c>
      <c r="I97" s="43">
        <v>93000</v>
      </c>
      <c r="J97" s="38">
        <v>7</v>
      </c>
      <c r="K97" s="39">
        <v>9300</v>
      </c>
      <c r="L97" s="54">
        <f>M97*P97</f>
        <v>11957.142857142857</v>
      </c>
      <c r="M97" s="39">
        <f>(I97-K97)/J97</f>
        <v>11957.142857142857</v>
      </c>
      <c r="N97" s="39">
        <f>I97-L97</f>
        <v>81042.857142857145</v>
      </c>
      <c r="O97" s="38" t="s">
        <v>202</v>
      </c>
      <c r="P97" s="40">
        <v>1</v>
      </c>
    </row>
    <row r="98" spans="1:16" x14ac:dyDescent="0.25">
      <c r="A98" s="34">
        <v>342</v>
      </c>
      <c r="B98" s="38" t="s">
        <v>443</v>
      </c>
      <c r="C98" s="38">
        <v>1</v>
      </c>
      <c r="D98" s="38" t="s">
        <v>9</v>
      </c>
      <c r="E98" s="38" t="s">
        <v>312</v>
      </c>
      <c r="F98" s="38"/>
      <c r="G98" s="38"/>
      <c r="H98" s="42">
        <v>45623</v>
      </c>
      <c r="I98" s="95">
        <v>25990</v>
      </c>
      <c r="J98" s="38">
        <v>10</v>
      </c>
      <c r="K98" s="39">
        <v>2599</v>
      </c>
      <c r="L98" s="54">
        <f>M98*P98</f>
        <v>2339.1</v>
      </c>
      <c r="M98" s="39">
        <f>(I98-K98)/J98</f>
        <v>2339.1</v>
      </c>
      <c r="N98" s="39">
        <f>I98-L98</f>
        <v>23650.9</v>
      </c>
      <c r="O98" s="38"/>
      <c r="P98" s="40">
        <v>1</v>
      </c>
    </row>
    <row r="99" spans="1:16" x14ac:dyDescent="0.25">
      <c r="A99" s="34">
        <v>343</v>
      </c>
      <c r="B99" s="38" t="s">
        <v>439</v>
      </c>
      <c r="C99" s="38">
        <v>20</v>
      </c>
      <c r="D99" s="38" t="s">
        <v>11</v>
      </c>
      <c r="E99" s="38" t="s">
        <v>35</v>
      </c>
      <c r="F99" s="38"/>
      <c r="G99" s="38"/>
      <c r="H99" s="42">
        <v>45624</v>
      </c>
      <c r="I99" s="43">
        <v>14263.8</v>
      </c>
      <c r="J99" s="38">
        <v>4</v>
      </c>
      <c r="K99" s="39">
        <v>1426.38</v>
      </c>
      <c r="L99" s="54">
        <f>M99*P99</f>
        <v>3209.3549999999996</v>
      </c>
      <c r="M99" s="39">
        <f>(I99-K99)/J99</f>
        <v>3209.3549999999996</v>
      </c>
      <c r="N99" s="39">
        <f>I99-L99</f>
        <v>11054.445</v>
      </c>
      <c r="O99" s="38" t="s">
        <v>440</v>
      </c>
      <c r="P99" s="40">
        <v>1</v>
      </c>
    </row>
    <row r="100" spans="1:16" ht="30" x14ac:dyDescent="0.25">
      <c r="A100" s="34">
        <v>344</v>
      </c>
      <c r="B100" s="41" t="s">
        <v>324</v>
      </c>
      <c r="C100" s="38">
        <v>1</v>
      </c>
      <c r="D100" s="38" t="s">
        <v>11</v>
      </c>
      <c r="E100" s="38" t="s">
        <v>201</v>
      </c>
      <c r="F100" s="38"/>
      <c r="G100" s="38"/>
      <c r="H100" s="42">
        <v>45628</v>
      </c>
      <c r="I100" s="43">
        <v>781.82</v>
      </c>
      <c r="J100" s="38">
        <v>3</v>
      </c>
      <c r="K100" s="39">
        <v>0</v>
      </c>
      <c r="L100" s="54">
        <f>M100*P100</f>
        <v>260.60666666666668</v>
      </c>
      <c r="M100" s="39">
        <f>(I100-K100)/J100</f>
        <v>260.60666666666668</v>
      </c>
      <c r="N100" s="39">
        <f>I100-L100</f>
        <v>521.21333333333337</v>
      </c>
      <c r="O100" s="38"/>
      <c r="P100" s="40">
        <v>1</v>
      </c>
    </row>
    <row r="101" spans="1:16" x14ac:dyDescent="0.25">
      <c r="A101" s="34">
        <v>345</v>
      </c>
      <c r="B101" s="38" t="s">
        <v>438</v>
      </c>
      <c r="C101" s="38">
        <v>1</v>
      </c>
      <c r="D101" s="38" t="s">
        <v>11</v>
      </c>
      <c r="E101" s="38" t="s">
        <v>201</v>
      </c>
      <c r="F101" s="38"/>
      <c r="G101" s="38"/>
      <c r="H101" s="42">
        <v>45629</v>
      </c>
      <c r="I101" s="43">
        <v>1908.18</v>
      </c>
      <c r="J101" s="38">
        <v>3</v>
      </c>
      <c r="K101" s="39">
        <v>0</v>
      </c>
      <c r="L101" s="54">
        <f>M101*P101</f>
        <v>636.06000000000006</v>
      </c>
      <c r="M101" s="39">
        <f>(I101-K101)/J101</f>
        <v>636.06000000000006</v>
      </c>
      <c r="N101" s="39">
        <f>I101-L101</f>
        <v>1272.1199999999999</v>
      </c>
      <c r="O101" s="38"/>
      <c r="P101" s="40">
        <v>1</v>
      </c>
    </row>
    <row r="102" spans="1:16" x14ac:dyDescent="0.25">
      <c r="A102" s="34">
        <v>346</v>
      </c>
      <c r="B102" s="38" t="s">
        <v>442</v>
      </c>
      <c r="C102" s="38">
        <v>1</v>
      </c>
      <c r="D102" s="38" t="s">
        <v>9</v>
      </c>
      <c r="E102" s="38" t="s">
        <v>82</v>
      </c>
      <c r="F102" s="38"/>
      <c r="G102" s="38"/>
      <c r="H102" s="42">
        <v>45629</v>
      </c>
      <c r="I102" s="43">
        <v>4429</v>
      </c>
      <c r="J102" s="92">
        <v>5</v>
      </c>
      <c r="K102" s="39">
        <v>0</v>
      </c>
      <c r="L102" s="54">
        <f>M102*P102</f>
        <v>885.8</v>
      </c>
      <c r="M102" s="39">
        <f>(I102-K102)/J102</f>
        <v>885.8</v>
      </c>
      <c r="N102" s="39">
        <f>I102-L102</f>
        <v>3543.2</v>
      </c>
      <c r="O102" s="38"/>
      <c r="P102" s="40">
        <v>1</v>
      </c>
    </row>
    <row r="103" spans="1:16" x14ac:dyDescent="0.25">
      <c r="A103" s="34">
        <v>347</v>
      </c>
      <c r="B103" s="38" t="s">
        <v>448</v>
      </c>
      <c r="C103" s="38">
        <v>1</v>
      </c>
      <c r="D103" s="38" t="s">
        <v>449</v>
      </c>
      <c r="E103" s="38" t="s">
        <v>189</v>
      </c>
      <c r="F103" s="38"/>
      <c r="G103" s="38" t="s">
        <v>450</v>
      </c>
      <c r="H103" s="42">
        <v>45635</v>
      </c>
      <c r="I103" s="43">
        <v>1297</v>
      </c>
      <c r="J103" s="38">
        <v>3</v>
      </c>
      <c r="K103" s="39">
        <v>0</v>
      </c>
      <c r="L103" s="54">
        <f>M103*P103</f>
        <v>432.33333333333331</v>
      </c>
      <c r="M103" s="39">
        <f>(I103-K103)/J103</f>
        <v>432.33333333333331</v>
      </c>
      <c r="N103" s="39">
        <f>I103-L103</f>
        <v>864.66666666666674</v>
      </c>
      <c r="O103" s="43"/>
      <c r="P103" s="40">
        <v>1</v>
      </c>
    </row>
    <row r="104" spans="1:16" x14ac:dyDescent="0.25">
      <c r="A104" s="34">
        <v>348</v>
      </c>
      <c r="B104" s="38" t="s">
        <v>451</v>
      </c>
      <c r="C104" s="38">
        <v>2</v>
      </c>
      <c r="D104" s="38" t="s">
        <v>11</v>
      </c>
      <c r="E104" s="38" t="s">
        <v>238</v>
      </c>
      <c r="F104" s="38"/>
      <c r="G104" s="38"/>
      <c r="H104" s="42">
        <v>45637</v>
      </c>
      <c r="I104" s="43">
        <v>5399.38</v>
      </c>
      <c r="J104" s="38">
        <v>5</v>
      </c>
      <c r="K104" s="39">
        <v>0</v>
      </c>
      <c r="L104" s="54">
        <f>M104*P104</f>
        <v>1079.876</v>
      </c>
      <c r="M104" s="39">
        <f>(I104-K104)/J104</f>
        <v>1079.876</v>
      </c>
      <c r="N104" s="39">
        <f>I104-L104</f>
        <v>4319.5039999999999</v>
      </c>
      <c r="O104" s="38" t="s">
        <v>452</v>
      </c>
      <c r="P104" s="40">
        <v>1</v>
      </c>
    </row>
    <row r="105" spans="1:16" x14ac:dyDescent="0.25">
      <c r="A105" s="34">
        <v>349</v>
      </c>
      <c r="B105" s="38" t="s">
        <v>457</v>
      </c>
      <c r="C105" s="38">
        <v>1</v>
      </c>
      <c r="D105" s="38" t="s">
        <v>11</v>
      </c>
      <c r="E105" s="38" t="s">
        <v>458</v>
      </c>
      <c r="F105" s="38"/>
      <c r="G105" s="38"/>
      <c r="H105" s="42">
        <v>45637</v>
      </c>
      <c r="I105" s="43">
        <v>8810.94</v>
      </c>
      <c r="J105" s="38">
        <v>5</v>
      </c>
      <c r="K105" s="39">
        <v>0</v>
      </c>
      <c r="L105" s="54">
        <f>M105*P105</f>
        <v>1762.1880000000001</v>
      </c>
      <c r="M105" s="39">
        <f>(I105-K105)/J105</f>
        <v>1762.1880000000001</v>
      </c>
      <c r="N105" s="39">
        <f>I105-L105</f>
        <v>7048.7520000000004</v>
      </c>
      <c r="O105" s="38"/>
      <c r="P105" s="40">
        <v>1</v>
      </c>
    </row>
    <row r="106" spans="1:16" x14ac:dyDescent="0.25">
      <c r="A106" s="34">
        <v>350</v>
      </c>
      <c r="B106" s="38" t="s">
        <v>455</v>
      </c>
      <c r="C106" s="38">
        <v>2</v>
      </c>
      <c r="D106" s="38" t="s">
        <v>11</v>
      </c>
      <c r="E106" s="38" t="s">
        <v>125</v>
      </c>
      <c r="F106" s="38"/>
      <c r="G106" s="38"/>
      <c r="H106" s="42">
        <v>45643</v>
      </c>
      <c r="I106" s="43">
        <v>2124</v>
      </c>
      <c r="J106" s="38">
        <v>5</v>
      </c>
      <c r="K106" s="39">
        <v>0</v>
      </c>
      <c r="L106" s="54">
        <f>M106*P106</f>
        <v>424.8</v>
      </c>
      <c r="M106" s="39">
        <f>(I106-K106)/J106</f>
        <v>424.8</v>
      </c>
      <c r="N106" s="39">
        <f>I106-L106</f>
        <v>1699.2</v>
      </c>
      <c r="O106" s="38" t="s">
        <v>456</v>
      </c>
      <c r="P106" s="40">
        <v>1</v>
      </c>
    </row>
    <row r="107" spans="1:16" x14ac:dyDescent="0.25">
      <c r="A107" s="34">
        <v>351</v>
      </c>
      <c r="B107" s="38" t="s">
        <v>453</v>
      </c>
      <c r="C107" s="38"/>
      <c r="D107" s="38" t="s">
        <v>11</v>
      </c>
      <c r="E107" s="38" t="s">
        <v>101</v>
      </c>
      <c r="F107" s="38"/>
      <c r="G107" s="38"/>
      <c r="H107" s="42">
        <v>45645</v>
      </c>
      <c r="I107" s="43">
        <v>7067.4</v>
      </c>
      <c r="J107" s="38">
        <v>10</v>
      </c>
      <c r="K107" s="39">
        <v>706.74</v>
      </c>
      <c r="L107" s="54">
        <f>M107*P107</f>
        <v>636.06600000000003</v>
      </c>
      <c r="M107" s="39">
        <f>(I107-K107)/J107</f>
        <v>636.06600000000003</v>
      </c>
      <c r="N107" s="39">
        <f>I107-L107</f>
        <v>6431.3339999999998</v>
      </c>
      <c r="O107" s="38" t="s">
        <v>454</v>
      </c>
      <c r="P107" s="40">
        <v>1</v>
      </c>
    </row>
    <row r="108" spans="1:16" ht="30" x14ac:dyDescent="0.25">
      <c r="A108" s="34">
        <v>352</v>
      </c>
      <c r="B108" s="41" t="s">
        <v>294</v>
      </c>
      <c r="C108" s="38">
        <v>1</v>
      </c>
      <c r="D108" s="38" t="s">
        <v>11</v>
      </c>
      <c r="E108" s="38" t="s">
        <v>125</v>
      </c>
      <c r="F108" s="38"/>
      <c r="G108" s="38"/>
      <c r="H108" s="42">
        <v>45645</v>
      </c>
      <c r="I108" s="43">
        <v>5395</v>
      </c>
      <c r="J108" s="38">
        <v>5</v>
      </c>
      <c r="K108" s="39">
        <v>0</v>
      </c>
      <c r="L108" s="54">
        <f>M108*P108</f>
        <v>1079</v>
      </c>
      <c r="M108" s="39">
        <f>(I108-K108)/J108</f>
        <v>1079</v>
      </c>
      <c r="N108" s="39">
        <f>I108-L108</f>
        <v>4316</v>
      </c>
      <c r="O108" s="38"/>
      <c r="P108" s="40">
        <v>1</v>
      </c>
    </row>
    <row r="109" spans="1:16" x14ac:dyDescent="0.25">
      <c r="A109" s="34">
        <v>353</v>
      </c>
      <c r="B109" s="38" t="s">
        <v>475</v>
      </c>
      <c r="C109" s="38">
        <v>4</v>
      </c>
      <c r="D109" s="38" t="s">
        <v>11</v>
      </c>
      <c r="E109" s="38" t="s">
        <v>101</v>
      </c>
      <c r="F109" s="38"/>
      <c r="G109" s="38"/>
      <c r="H109" s="42">
        <v>45645</v>
      </c>
      <c r="I109" s="43">
        <v>2624</v>
      </c>
      <c r="J109" s="38">
        <v>5</v>
      </c>
      <c r="K109" s="39">
        <v>262.39999999999998</v>
      </c>
      <c r="L109" s="54">
        <f>M109*P109</f>
        <v>472.32</v>
      </c>
      <c r="M109" s="39">
        <f>(I109-K109)/J109</f>
        <v>472.32</v>
      </c>
      <c r="N109" s="39">
        <f>I109-L109</f>
        <v>2151.6799999999998</v>
      </c>
      <c r="O109" s="38" t="s">
        <v>476</v>
      </c>
      <c r="P109" s="40">
        <v>1</v>
      </c>
    </row>
    <row r="110" spans="1:16" x14ac:dyDescent="0.25">
      <c r="A110" s="34">
        <v>354</v>
      </c>
      <c r="B110" s="38" t="s">
        <v>477</v>
      </c>
      <c r="C110" s="38">
        <v>4</v>
      </c>
      <c r="D110" s="38" t="s">
        <v>11</v>
      </c>
      <c r="E110" s="38" t="s">
        <v>101</v>
      </c>
      <c r="F110" s="38"/>
      <c r="G110" s="38"/>
      <c r="H110" s="42">
        <v>45645</v>
      </c>
      <c r="I110" s="43">
        <v>2362.16</v>
      </c>
      <c r="J110" s="38">
        <v>5</v>
      </c>
      <c r="K110" s="39">
        <v>236.21</v>
      </c>
      <c r="L110" s="54">
        <f>M110*P110</f>
        <v>425.18999999999994</v>
      </c>
      <c r="M110" s="39">
        <f>(I110-K110)/J110</f>
        <v>425.18999999999994</v>
      </c>
      <c r="N110" s="39">
        <f>I110-L110</f>
        <v>1936.9699999999998</v>
      </c>
      <c r="O110" s="38" t="s">
        <v>478</v>
      </c>
      <c r="P110" s="40">
        <v>1</v>
      </c>
    </row>
    <row r="111" spans="1:16" x14ac:dyDescent="0.25">
      <c r="A111" s="34">
        <v>355</v>
      </c>
      <c r="B111" s="41" t="s">
        <v>516</v>
      </c>
      <c r="C111" s="38">
        <v>1</v>
      </c>
      <c r="D111" s="41" t="s">
        <v>9</v>
      </c>
      <c r="E111" s="38" t="s">
        <v>517</v>
      </c>
      <c r="F111" s="38"/>
      <c r="G111" s="38" t="s">
        <v>518</v>
      </c>
      <c r="H111" s="42">
        <v>45664</v>
      </c>
      <c r="I111" s="43">
        <v>70000</v>
      </c>
      <c r="J111" s="38">
        <v>10</v>
      </c>
      <c r="K111" s="39">
        <v>7000</v>
      </c>
      <c r="L111" s="54">
        <f>M111*P111</f>
        <v>6300</v>
      </c>
      <c r="M111" s="39">
        <f>(I111-K111)/J111</f>
        <v>6300</v>
      </c>
      <c r="N111" s="39">
        <f>I111-L111</f>
        <v>63700</v>
      </c>
      <c r="O111" s="38"/>
      <c r="P111" s="40">
        <v>1</v>
      </c>
    </row>
    <row r="112" spans="1:16" x14ac:dyDescent="0.25">
      <c r="A112" s="34">
        <v>356</v>
      </c>
      <c r="B112" s="41" t="s">
        <v>519</v>
      </c>
      <c r="C112" s="38">
        <v>1</v>
      </c>
      <c r="D112" s="41" t="s">
        <v>9</v>
      </c>
      <c r="E112" s="38" t="s">
        <v>517</v>
      </c>
      <c r="F112" s="38"/>
      <c r="G112" s="38" t="s">
        <v>520</v>
      </c>
      <c r="H112" s="42">
        <v>45664</v>
      </c>
      <c r="I112" s="43">
        <v>85000</v>
      </c>
      <c r="J112" s="38">
        <v>10</v>
      </c>
      <c r="K112" s="39">
        <v>8500</v>
      </c>
      <c r="L112" s="54">
        <f>M112*P112</f>
        <v>7650</v>
      </c>
      <c r="M112" s="39">
        <f>(I112-K112)/J112</f>
        <v>7650</v>
      </c>
      <c r="N112" s="39">
        <f>I112-L112</f>
        <v>77350</v>
      </c>
      <c r="O112" s="38"/>
      <c r="P112" s="40">
        <v>1</v>
      </c>
    </row>
    <row r="113" spans="1:18" ht="30" x14ac:dyDescent="0.25">
      <c r="A113" s="34">
        <v>357</v>
      </c>
      <c r="B113" s="41" t="s">
        <v>459</v>
      </c>
      <c r="C113" s="38">
        <v>1</v>
      </c>
      <c r="D113" s="38" t="s">
        <v>11</v>
      </c>
      <c r="E113" s="38" t="s">
        <v>125</v>
      </c>
      <c r="F113" s="38"/>
      <c r="G113" s="38"/>
      <c r="H113" s="42">
        <v>45672</v>
      </c>
      <c r="I113" s="43">
        <v>4703</v>
      </c>
      <c r="J113" s="38">
        <v>5</v>
      </c>
      <c r="K113" s="39">
        <v>0</v>
      </c>
      <c r="L113" s="54">
        <f>M113*P113</f>
        <v>940.6</v>
      </c>
      <c r="M113" s="39">
        <f>(I113-K113)/J113</f>
        <v>940.6</v>
      </c>
      <c r="N113" s="39">
        <f>I113-L113</f>
        <v>3762.4</v>
      </c>
      <c r="O113" s="38"/>
      <c r="P113" s="40">
        <v>1</v>
      </c>
    </row>
    <row r="114" spans="1:18" x14ac:dyDescent="0.25">
      <c r="A114" s="34">
        <v>358</v>
      </c>
      <c r="B114" s="38" t="s">
        <v>435</v>
      </c>
      <c r="C114" s="38">
        <v>2</v>
      </c>
      <c r="D114" s="38" t="s">
        <v>8</v>
      </c>
      <c r="E114" s="38" t="s">
        <v>92</v>
      </c>
      <c r="F114" s="38"/>
      <c r="G114" s="38"/>
      <c r="H114" s="42">
        <v>45678</v>
      </c>
      <c r="I114" s="43">
        <v>2725.45</v>
      </c>
      <c r="J114" s="38">
        <v>3</v>
      </c>
      <c r="K114" s="39">
        <v>0</v>
      </c>
      <c r="L114" s="54">
        <f>M114*P114</f>
        <v>908.48333333333323</v>
      </c>
      <c r="M114" s="39">
        <f>(I114-K114)/J114</f>
        <v>908.48333333333323</v>
      </c>
      <c r="N114" s="39">
        <f>I114-L114</f>
        <v>1816.9666666666667</v>
      </c>
      <c r="O114" s="38"/>
      <c r="P114" s="40">
        <v>1</v>
      </c>
    </row>
    <row r="115" spans="1:18" x14ac:dyDescent="0.25">
      <c r="A115" s="34">
        <v>359</v>
      </c>
      <c r="B115" s="38" t="s">
        <v>460</v>
      </c>
      <c r="C115" s="38">
        <v>1</v>
      </c>
      <c r="D115" s="38" t="s">
        <v>461</v>
      </c>
      <c r="E115" s="38" t="s">
        <v>189</v>
      </c>
      <c r="F115" s="38"/>
      <c r="G115" s="38"/>
      <c r="H115" s="42">
        <v>45679</v>
      </c>
      <c r="I115" s="43">
        <v>1887</v>
      </c>
      <c r="J115" s="38">
        <v>3</v>
      </c>
      <c r="K115" s="39">
        <v>0</v>
      </c>
      <c r="L115" s="54">
        <f>M115*P115</f>
        <v>629</v>
      </c>
      <c r="M115" s="39">
        <f>(I115-K115)/J115</f>
        <v>629</v>
      </c>
      <c r="N115" s="39">
        <f>I115-L115</f>
        <v>1258</v>
      </c>
      <c r="O115" s="38" t="s">
        <v>225</v>
      </c>
      <c r="P115" s="40">
        <v>1</v>
      </c>
    </row>
    <row r="116" spans="1:18" x14ac:dyDescent="0.25">
      <c r="A116" s="34">
        <v>360</v>
      </c>
      <c r="B116" s="38" t="s">
        <v>462</v>
      </c>
      <c r="C116" s="38">
        <v>2</v>
      </c>
      <c r="D116" s="38" t="s">
        <v>11</v>
      </c>
      <c r="E116" s="38" t="s">
        <v>238</v>
      </c>
      <c r="F116" s="38"/>
      <c r="G116" s="38"/>
      <c r="H116" s="42">
        <v>45681</v>
      </c>
      <c r="I116" s="43">
        <v>1673.38</v>
      </c>
      <c r="J116" s="38">
        <v>3</v>
      </c>
      <c r="K116" s="39">
        <v>0</v>
      </c>
      <c r="L116" s="54">
        <f>M116*P116</f>
        <v>557.79333333333341</v>
      </c>
      <c r="M116" s="39">
        <f>(I116-K116)/J116</f>
        <v>557.79333333333341</v>
      </c>
      <c r="N116" s="39">
        <f>I116-L116</f>
        <v>1115.5866666666666</v>
      </c>
      <c r="O116" s="38" t="s">
        <v>463</v>
      </c>
      <c r="P116" s="40">
        <v>1</v>
      </c>
    </row>
    <row r="117" spans="1:18" x14ac:dyDescent="0.25">
      <c r="A117" s="34">
        <v>361</v>
      </c>
      <c r="B117" s="38" t="s">
        <v>467</v>
      </c>
      <c r="C117" s="38">
        <v>1</v>
      </c>
      <c r="D117" s="38" t="s">
        <v>11</v>
      </c>
      <c r="E117" s="38" t="s">
        <v>468</v>
      </c>
      <c r="F117" s="38"/>
      <c r="G117" s="38"/>
      <c r="H117" s="42">
        <v>45684</v>
      </c>
      <c r="I117" s="43">
        <v>5466</v>
      </c>
      <c r="J117" s="38">
        <v>3</v>
      </c>
      <c r="K117" s="39">
        <v>0</v>
      </c>
      <c r="L117" s="54">
        <f>M117*P117</f>
        <v>1822</v>
      </c>
      <c r="M117" s="39">
        <f>(I117-K117)/J117</f>
        <v>1822</v>
      </c>
      <c r="N117" s="39">
        <f>I117-L117</f>
        <v>3644</v>
      </c>
      <c r="O117" s="38"/>
      <c r="P117" s="40">
        <v>1</v>
      </c>
    </row>
    <row r="118" spans="1:18" x14ac:dyDescent="0.25">
      <c r="A118" s="34">
        <v>362</v>
      </c>
      <c r="B118" s="38" t="s">
        <v>464</v>
      </c>
      <c r="C118" s="38">
        <v>4</v>
      </c>
      <c r="D118" s="38" t="s">
        <v>12</v>
      </c>
      <c r="E118" s="38" t="s">
        <v>465</v>
      </c>
      <c r="F118" s="38"/>
      <c r="G118" s="38"/>
      <c r="H118" s="42">
        <v>45687</v>
      </c>
      <c r="I118" s="43">
        <v>3990</v>
      </c>
      <c r="J118" s="38">
        <v>3</v>
      </c>
      <c r="K118" s="39">
        <v>0</v>
      </c>
      <c r="L118" s="54">
        <f>M118*P118</f>
        <v>1330</v>
      </c>
      <c r="M118" s="39">
        <f>(I118-K118)/J118</f>
        <v>1330</v>
      </c>
      <c r="N118" s="39">
        <f>I118-L118</f>
        <v>2660</v>
      </c>
      <c r="O118" s="38" t="s">
        <v>466</v>
      </c>
      <c r="P118" s="40">
        <v>1</v>
      </c>
    </row>
    <row r="119" spans="1:18" x14ac:dyDescent="0.25">
      <c r="A119" s="34">
        <v>363</v>
      </c>
      <c r="B119" s="38" t="s">
        <v>472</v>
      </c>
      <c r="C119" s="38">
        <v>1</v>
      </c>
      <c r="D119" s="38" t="s">
        <v>8</v>
      </c>
      <c r="E119" s="38" t="s">
        <v>189</v>
      </c>
      <c r="F119" s="38"/>
      <c r="G119" s="38"/>
      <c r="H119" s="42">
        <v>45688</v>
      </c>
      <c r="I119" s="43">
        <v>1047</v>
      </c>
      <c r="J119" s="38">
        <v>3</v>
      </c>
      <c r="K119" s="39">
        <v>0</v>
      </c>
      <c r="L119" s="54">
        <f>M119*P119</f>
        <v>349</v>
      </c>
      <c r="M119" s="39">
        <f>(I119-K119)/J119</f>
        <v>349</v>
      </c>
      <c r="N119" s="39">
        <f>I119-L119</f>
        <v>698</v>
      </c>
      <c r="O119" s="38"/>
      <c r="P119" s="40">
        <v>1</v>
      </c>
    </row>
    <row r="120" spans="1:18" x14ac:dyDescent="0.25">
      <c r="A120" s="34">
        <v>364</v>
      </c>
      <c r="B120" s="38" t="s">
        <v>473</v>
      </c>
      <c r="C120" s="38">
        <v>120</v>
      </c>
      <c r="D120" s="38" t="s">
        <v>12</v>
      </c>
      <c r="E120" s="38" t="s">
        <v>272</v>
      </c>
      <c r="F120" s="38"/>
      <c r="G120" s="38"/>
      <c r="H120" s="42">
        <v>45688</v>
      </c>
      <c r="I120" s="43">
        <v>12480</v>
      </c>
      <c r="J120" s="38">
        <v>5</v>
      </c>
      <c r="K120" s="39">
        <v>1248</v>
      </c>
      <c r="L120" s="54">
        <f>M120*P120</f>
        <v>2246.4</v>
      </c>
      <c r="M120" s="39">
        <f>(I120-K120)/J120</f>
        <v>2246.4</v>
      </c>
      <c r="N120" s="39">
        <f>I120-L120</f>
        <v>10233.6</v>
      </c>
      <c r="O120" s="38" t="s">
        <v>474</v>
      </c>
      <c r="P120" s="40">
        <v>1</v>
      </c>
    </row>
    <row r="121" spans="1:18" x14ac:dyDescent="0.25">
      <c r="A121" s="34">
        <v>365</v>
      </c>
      <c r="B121" s="38" t="s">
        <v>479</v>
      </c>
      <c r="C121" s="38">
        <v>2</v>
      </c>
      <c r="D121" s="38" t="s">
        <v>10</v>
      </c>
      <c r="E121" s="38" t="s">
        <v>480</v>
      </c>
      <c r="F121" s="38"/>
      <c r="G121" s="38"/>
      <c r="H121" s="42">
        <v>45688</v>
      </c>
      <c r="I121" s="43">
        <v>280</v>
      </c>
      <c r="J121" s="38">
        <v>10</v>
      </c>
      <c r="K121" s="39">
        <v>28</v>
      </c>
      <c r="L121" s="54">
        <f>M121*P121</f>
        <v>25.2</v>
      </c>
      <c r="M121" s="39">
        <f>(I121-K121)/J121</f>
        <v>25.2</v>
      </c>
      <c r="N121" s="39">
        <f>I121-L121</f>
        <v>254.8</v>
      </c>
      <c r="O121" s="38" t="s">
        <v>481</v>
      </c>
      <c r="P121" s="40">
        <v>1</v>
      </c>
    </row>
    <row r="122" spans="1:18" x14ac:dyDescent="0.25">
      <c r="A122" s="34">
        <v>366</v>
      </c>
      <c r="B122" s="38" t="s">
        <v>482</v>
      </c>
      <c r="C122" s="38">
        <v>2</v>
      </c>
      <c r="D122" s="38" t="s">
        <v>11</v>
      </c>
      <c r="E122" s="38" t="s">
        <v>125</v>
      </c>
      <c r="F122" s="38"/>
      <c r="G122" s="38"/>
      <c r="H122" s="42">
        <v>45688</v>
      </c>
      <c r="I122" s="43">
        <v>3790</v>
      </c>
      <c r="J122" s="38">
        <v>5</v>
      </c>
      <c r="K122" s="39">
        <v>0</v>
      </c>
      <c r="L122" s="54">
        <f>M122*P122</f>
        <v>758</v>
      </c>
      <c r="M122" s="39">
        <f>(I122-K122)/J122</f>
        <v>758</v>
      </c>
      <c r="N122" s="39">
        <f>I122-L122</f>
        <v>3032</v>
      </c>
      <c r="O122" s="38" t="s">
        <v>483</v>
      </c>
      <c r="P122" s="40">
        <v>1</v>
      </c>
    </row>
    <row r="123" spans="1:18" x14ac:dyDescent="0.25">
      <c r="A123" s="34">
        <v>367</v>
      </c>
      <c r="B123" s="38" t="s">
        <v>484</v>
      </c>
      <c r="C123" s="38">
        <v>4</v>
      </c>
      <c r="D123" s="38" t="s">
        <v>11</v>
      </c>
      <c r="E123" s="38" t="s">
        <v>125</v>
      </c>
      <c r="F123" s="38"/>
      <c r="G123" s="38"/>
      <c r="H123" s="42">
        <v>45688</v>
      </c>
      <c r="I123" s="43">
        <v>1700</v>
      </c>
      <c r="J123" s="38">
        <v>5</v>
      </c>
      <c r="K123" s="39">
        <v>0</v>
      </c>
      <c r="L123" s="54">
        <f>M123*P123</f>
        <v>340</v>
      </c>
      <c r="M123" s="39">
        <f>(I123-K123)/J123</f>
        <v>340</v>
      </c>
      <c r="N123" s="39">
        <f>I123-L123</f>
        <v>1360</v>
      </c>
      <c r="O123" s="38" t="s">
        <v>485</v>
      </c>
      <c r="P123" s="40">
        <v>1</v>
      </c>
    </row>
    <row r="124" spans="1:18" x14ac:dyDescent="0.25">
      <c r="A124" s="81">
        <v>368</v>
      </c>
      <c r="B124" s="82" t="s">
        <v>471</v>
      </c>
      <c r="C124" s="82">
        <v>6</v>
      </c>
      <c r="D124" s="82" t="s">
        <v>12</v>
      </c>
      <c r="E124" s="82" t="s">
        <v>470</v>
      </c>
      <c r="F124" s="82"/>
      <c r="G124" s="82"/>
      <c r="H124" s="83">
        <v>45691</v>
      </c>
      <c r="I124" s="84">
        <v>2295.02</v>
      </c>
      <c r="J124" s="82">
        <v>10</v>
      </c>
      <c r="K124" s="85">
        <v>229.5</v>
      </c>
      <c r="L124" s="86">
        <f>M124*P124</f>
        <v>206.55199999999999</v>
      </c>
      <c r="M124" s="85">
        <f>(I124-K124)/J124</f>
        <v>206.55199999999999</v>
      </c>
      <c r="N124" s="85">
        <f>I124-L124</f>
        <v>2088.4679999999998</v>
      </c>
      <c r="O124" s="82"/>
      <c r="P124" s="87">
        <v>1</v>
      </c>
    </row>
    <row r="125" spans="1:18" s="38" customFormat="1" x14ac:dyDescent="0.25">
      <c r="A125" s="38">
        <v>369</v>
      </c>
      <c r="B125" s="38" t="s">
        <v>469</v>
      </c>
      <c r="D125" s="38" t="s">
        <v>12</v>
      </c>
      <c r="E125" s="38" t="s">
        <v>470</v>
      </c>
      <c r="H125" s="42">
        <v>45692</v>
      </c>
      <c r="I125" s="43">
        <v>3286.13</v>
      </c>
      <c r="J125" s="38">
        <v>10</v>
      </c>
      <c r="K125" s="54">
        <v>328.61</v>
      </c>
      <c r="L125" s="54">
        <f>M125*P125</f>
        <v>295.75200000000001</v>
      </c>
      <c r="M125" s="85">
        <f>(I125-K125)/J125</f>
        <v>295.75200000000001</v>
      </c>
      <c r="N125" s="54">
        <f>I125-L125</f>
        <v>2990.3780000000002</v>
      </c>
      <c r="P125" s="44">
        <v>1</v>
      </c>
      <c r="Q125" s="31"/>
      <c r="R125" s="31"/>
    </row>
    <row r="126" spans="1:18" s="38" customFormat="1" ht="30" x14ac:dyDescent="0.25">
      <c r="A126" s="38">
        <v>370</v>
      </c>
      <c r="B126" s="38" t="s">
        <v>486</v>
      </c>
      <c r="C126" s="38">
        <v>306</v>
      </c>
      <c r="D126" s="41" t="s">
        <v>10</v>
      </c>
      <c r="E126" s="38" t="s">
        <v>35</v>
      </c>
      <c r="H126" s="42">
        <v>45693</v>
      </c>
      <c r="I126" s="43">
        <v>8874</v>
      </c>
      <c r="J126" s="38">
        <v>10</v>
      </c>
      <c r="K126" s="54">
        <v>0</v>
      </c>
      <c r="L126" s="54">
        <f>M126*P126</f>
        <v>887.4</v>
      </c>
      <c r="M126" s="54">
        <f>(I126-K126)/J126</f>
        <v>887.4</v>
      </c>
      <c r="N126" s="54">
        <f>I126-L126</f>
        <v>7986.6</v>
      </c>
      <c r="O126" s="38" t="s">
        <v>487</v>
      </c>
      <c r="P126" s="44">
        <v>1</v>
      </c>
      <c r="Q126" s="31"/>
      <c r="R126" s="31"/>
    </row>
    <row r="127" spans="1:18" x14ac:dyDescent="0.25">
      <c r="A127" s="38">
        <v>371</v>
      </c>
      <c r="B127" s="38" t="s">
        <v>488</v>
      </c>
      <c r="C127" s="38">
        <v>1</v>
      </c>
      <c r="D127" s="41" t="s">
        <v>8</v>
      </c>
      <c r="E127" s="38" t="s">
        <v>92</v>
      </c>
      <c r="F127" s="38"/>
      <c r="G127" s="38"/>
      <c r="H127" s="42">
        <v>45698</v>
      </c>
      <c r="I127" s="43">
        <v>2390</v>
      </c>
      <c r="J127" s="38">
        <v>3</v>
      </c>
      <c r="K127" s="54">
        <v>0</v>
      </c>
      <c r="L127" s="54">
        <f>M127*P127</f>
        <v>796.66666666666663</v>
      </c>
      <c r="M127" s="54">
        <f>(I127-K127)/J127</f>
        <v>796.66666666666663</v>
      </c>
      <c r="N127" s="54">
        <f>I127-L127</f>
        <v>1593.3333333333335</v>
      </c>
      <c r="O127" s="38" t="s">
        <v>489</v>
      </c>
      <c r="P127" s="44">
        <v>1</v>
      </c>
    </row>
    <row r="128" spans="1:18" x14ac:dyDescent="0.25">
      <c r="A128" s="38">
        <v>372</v>
      </c>
      <c r="B128" s="38" t="s">
        <v>490</v>
      </c>
      <c r="C128" s="38">
        <v>1</v>
      </c>
      <c r="D128" s="41" t="s">
        <v>461</v>
      </c>
      <c r="E128" s="38" t="s">
        <v>189</v>
      </c>
      <c r="F128" s="38"/>
      <c r="G128" s="38"/>
      <c r="H128" s="42">
        <v>45699</v>
      </c>
      <c r="I128" s="43">
        <v>1597</v>
      </c>
      <c r="J128" s="38">
        <v>3</v>
      </c>
      <c r="K128" s="54">
        <v>0</v>
      </c>
      <c r="L128" s="54">
        <f>M128*P128</f>
        <v>532.33333333333337</v>
      </c>
      <c r="M128" s="54">
        <f>(I128-K128)/J128</f>
        <v>532.33333333333337</v>
      </c>
      <c r="N128" s="54">
        <f>I128-L128</f>
        <v>1064.6666666666665</v>
      </c>
      <c r="O128" s="38"/>
      <c r="P128" s="44">
        <v>1</v>
      </c>
    </row>
    <row r="129" spans="1:16" x14ac:dyDescent="0.25">
      <c r="A129" s="38">
        <v>373</v>
      </c>
      <c r="B129" s="38" t="s">
        <v>491</v>
      </c>
      <c r="C129" s="38">
        <v>1</v>
      </c>
      <c r="D129" s="41" t="s">
        <v>8</v>
      </c>
      <c r="E129" s="38" t="s">
        <v>92</v>
      </c>
      <c r="F129" s="38"/>
      <c r="G129" s="38"/>
      <c r="H129" s="42">
        <v>45699</v>
      </c>
      <c r="I129" s="43">
        <v>1499.09</v>
      </c>
      <c r="J129" s="38">
        <v>3</v>
      </c>
      <c r="K129" s="54">
        <v>0</v>
      </c>
      <c r="L129" s="54">
        <f>M129*P129</f>
        <v>499.69666666666666</v>
      </c>
      <c r="M129" s="54">
        <f>(I129-K129)/J129</f>
        <v>499.69666666666666</v>
      </c>
      <c r="N129" s="54">
        <f>I129-L129</f>
        <v>999.3933333333332</v>
      </c>
      <c r="O129" s="38" t="s">
        <v>492</v>
      </c>
      <c r="P129" s="44">
        <v>1</v>
      </c>
    </row>
    <row r="130" spans="1:16" x14ac:dyDescent="0.25">
      <c r="A130" s="38">
        <v>374</v>
      </c>
      <c r="B130" s="38" t="s">
        <v>493</v>
      </c>
      <c r="C130" s="38">
        <v>1</v>
      </c>
      <c r="D130" s="41" t="s">
        <v>461</v>
      </c>
      <c r="E130" s="38" t="s">
        <v>189</v>
      </c>
      <c r="F130" s="38"/>
      <c r="G130" s="38"/>
      <c r="H130" s="42">
        <v>45700</v>
      </c>
      <c r="I130" s="43">
        <v>1167</v>
      </c>
      <c r="J130" s="38">
        <v>3</v>
      </c>
      <c r="K130" s="54">
        <v>0</v>
      </c>
      <c r="L130" s="54">
        <f>M130*P130</f>
        <v>389</v>
      </c>
      <c r="M130" s="54">
        <f>(I130-K130)/J130</f>
        <v>389</v>
      </c>
      <c r="N130" s="54">
        <f>I130-L130</f>
        <v>778</v>
      </c>
      <c r="O130" s="38" t="s">
        <v>494</v>
      </c>
      <c r="P130" s="44">
        <v>1</v>
      </c>
    </row>
    <row r="131" spans="1:16" ht="30" x14ac:dyDescent="0.25">
      <c r="A131" s="38">
        <v>375</v>
      </c>
      <c r="B131" s="41" t="s">
        <v>495</v>
      </c>
      <c r="C131" s="38">
        <v>1</v>
      </c>
      <c r="D131" s="41" t="s">
        <v>9</v>
      </c>
      <c r="E131" s="38" t="s">
        <v>82</v>
      </c>
      <c r="F131" s="38"/>
      <c r="G131" s="38"/>
      <c r="H131" s="42">
        <v>45702</v>
      </c>
      <c r="I131" s="43">
        <v>4650</v>
      </c>
      <c r="J131" s="38">
        <v>5</v>
      </c>
      <c r="K131" s="54">
        <v>0</v>
      </c>
      <c r="L131" s="54">
        <f>M131*P131</f>
        <v>930</v>
      </c>
      <c r="M131" s="54">
        <f>(I131-K131)/J131</f>
        <v>930</v>
      </c>
      <c r="N131" s="54">
        <f>I131-L131</f>
        <v>3720</v>
      </c>
      <c r="O131" s="38"/>
      <c r="P131" s="44">
        <v>1</v>
      </c>
    </row>
    <row r="132" spans="1:16" x14ac:dyDescent="0.25">
      <c r="A132" s="38">
        <v>376</v>
      </c>
      <c r="B132" s="2" t="s">
        <v>524</v>
      </c>
      <c r="C132" s="38">
        <v>1</v>
      </c>
      <c r="D132" s="41" t="s">
        <v>11</v>
      </c>
      <c r="E132" s="38" t="s">
        <v>399</v>
      </c>
      <c r="F132" s="38"/>
      <c r="G132" s="38"/>
      <c r="H132" s="42">
        <v>45707</v>
      </c>
      <c r="I132" s="43">
        <v>8200</v>
      </c>
      <c r="J132" s="38">
        <v>10</v>
      </c>
      <c r="K132" s="54">
        <v>1500</v>
      </c>
      <c r="L132" s="54">
        <f>M132*P132</f>
        <v>670</v>
      </c>
      <c r="M132" s="54">
        <f>(I132-K132)/J132</f>
        <v>670</v>
      </c>
      <c r="N132" s="54">
        <f>I132-L132</f>
        <v>7530</v>
      </c>
      <c r="O132" s="38"/>
      <c r="P132" s="44">
        <v>1</v>
      </c>
    </row>
    <row r="133" spans="1:16" x14ac:dyDescent="0.25">
      <c r="A133" s="38">
        <v>377</v>
      </c>
      <c r="B133" s="38" t="s">
        <v>496</v>
      </c>
      <c r="C133" s="38">
        <v>1</v>
      </c>
      <c r="D133" s="41" t="s">
        <v>11</v>
      </c>
      <c r="E133" s="38" t="s">
        <v>262</v>
      </c>
      <c r="F133" s="38"/>
      <c r="G133" s="38" t="s">
        <v>497</v>
      </c>
      <c r="H133" s="42">
        <v>45712</v>
      </c>
      <c r="I133" s="43">
        <v>2500</v>
      </c>
      <c r="J133" s="38">
        <v>5</v>
      </c>
      <c r="K133" s="54">
        <v>0</v>
      </c>
      <c r="L133" s="54">
        <f>M133*P133</f>
        <v>500</v>
      </c>
      <c r="M133" s="54">
        <f>(I133-K133)/J133</f>
        <v>500</v>
      </c>
      <c r="N133" s="54">
        <f>I133-L133</f>
        <v>2000</v>
      </c>
      <c r="O133" s="38"/>
      <c r="P133" s="44">
        <v>1</v>
      </c>
    </row>
    <row r="134" spans="1:16" x14ac:dyDescent="0.25">
      <c r="A134" s="38">
        <v>379</v>
      </c>
      <c r="B134" s="38" t="s">
        <v>498</v>
      </c>
      <c r="C134" s="38">
        <v>1</v>
      </c>
      <c r="D134" s="41" t="s">
        <v>8</v>
      </c>
      <c r="E134" s="38" t="s">
        <v>189</v>
      </c>
      <c r="F134" s="38"/>
      <c r="G134" s="38"/>
      <c r="H134" s="42">
        <v>45714</v>
      </c>
      <c r="I134" s="43">
        <v>1087</v>
      </c>
      <c r="J134" s="38">
        <v>4</v>
      </c>
      <c r="K134" s="54">
        <v>0</v>
      </c>
      <c r="L134" s="54">
        <f>M134*P134</f>
        <v>271.75</v>
      </c>
      <c r="M134" s="54">
        <f>(I134-K134)/J134</f>
        <v>271.75</v>
      </c>
      <c r="N134" s="54">
        <f>I134-L134</f>
        <v>815.25</v>
      </c>
      <c r="O134" s="38" t="s">
        <v>499</v>
      </c>
      <c r="P134" s="44">
        <v>1</v>
      </c>
    </row>
    <row r="135" spans="1:16" x14ac:dyDescent="0.25">
      <c r="A135" s="38">
        <v>380</v>
      </c>
      <c r="B135" s="38" t="s">
        <v>498</v>
      </c>
      <c r="C135" s="38">
        <v>1</v>
      </c>
      <c r="D135" s="41" t="s">
        <v>8</v>
      </c>
      <c r="E135" s="38" t="s">
        <v>189</v>
      </c>
      <c r="F135" s="38"/>
      <c r="G135" s="38"/>
      <c r="H135" s="42">
        <v>45714</v>
      </c>
      <c r="I135" s="43">
        <v>1087</v>
      </c>
      <c r="J135" s="38">
        <v>4</v>
      </c>
      <c r="K135" s="54">
        <v>0</v>
      </c>
      <c r="L135" s="54">
        <f>M135*P135</f>
        <v>271.75</v>
      </c>
      <c r="M135" s="54">
        <f>(I135-K135)/J135</f>
        <v>271.75</v>
      </c>
      <c r="N135" s="54">
        <f>I135-L135</f>
        <v>815.25</v>
      </c>
      <c r="O135" s="38" t="s">
        <v>499</v>
      </c>
      <c r="P135" s="44">
        <v>1</v>
      </c>
    </row>
    <row r="136" spans="1:16" x14ac:dyDescent="0.25">
      <c r="A136" s="38">
        <v>381</v>
      </c>
      <c r="B136" s="38" t="s">
        <v>500</v>
      </c>
      <c r="C136" s="38">
        <v>2</v>
      </c>
      <c r="D136" s="41" t="s">
        <v>8</v>
      </c>
      <c r="E136" s="38" t="s">
        <v>92</v>
      </c>
      <c r="F136" s="38"/>
      <c r="G136" s="38"/>
      <c r="H136" s="42">
        <v>45715</v>
      </c>
      <c r="I136" s="43">
        <v>634.54</v>
      </c>
      <c r="J136" s="38">
        <v>3</v>
      </c>
      <c r="K136" s="54">
        <v>0</v>
      </c>
      <c r="L136" s="54">
        <f>M136*P136</f>
        <v>211.51333333333332</v>
      </c>
      <c r="M136" s="54">
        <f>(I136-K136)/J136</f>
        <v>211.51333333333332</v>
      </c>
      <c r="N136" s="54">
        <f>I136-L136</f>
        <v>423.02666666666664</v>
      </c>
      <c r="O136" s="38" t="s">
        <v>501</v>
      </c>
      <c r="P136" s="44">
        <v>1</v>
      </c>
    </row>
    <row r="137" spans="1:16" x14ac:dyDescent="0.25">
      <c r="A137" s="38">
        <v>383</v>
      </c>
      <c r="B137" s="38" t="s">
        <v>502</v>
      </c>
      <c r="C137" s="38">
        <v>1</v>
      </c>
      <c r="D137" s="41" t="s">
        <v>8</v>
      </c>
      <c r="E137" s="38" t="s">
        <v>92</v>
      </c>
      <c r="F137" s="38"/>
      <c r="G137" s="38"/>
      <c r="H137" s="42">
        <v>45715</v>
      </c>
      <c r="I137" s="43">
        <v>294.54000000000002</v>
      </c>
      <c r="J137" s="38">
        <v>3</v>
      </c>
      <c r="K137" s="54">
        <v>0</v>
      </c>
      <c r="L137" s="54">
        <f>M137*P137</f>
        <v>98.18</v>
      </c>
      <c r="M137" s="54">
        <f>(I137-K137)/J137</f>
        <v>98.18</v>
      </c>
      <c r="N137" s="54">
        <f>I137-L137</f>
        <v>196.36</v>
      </c>
      <c r="O137" s="38" t="s">
        <v>503</v>
      </c>
      <c r="P137" s="44">
        <v>1</v>
      </c>
    </row>
    <row r="138" spans="1:16" x14ac:dyDescent="0.25">
      <c r="A138" s="38">
        <v>384</v>
      </c>
      <c r="B138" s="38" t="s">
        <v>508</v>
      </c>
      <c r="C138" s="38">
        <v>1</v>
      </c>
      <c r="D138" s="41" t="s">
        <v>11</v>
      </c>
      <c r="E138" s="38" t="s">
        <v>125</v>
      </c>
      <c r="F138" s="38"/>
      <c r="G138" s="38"/>
      <c r="H138" s="42">
        <v>45715</v>
      </c>
      <c r="I138" s="43">
        <v>20540</v>
      </c>
      <c r="J138" s="38">
        <v>5</v>
      </c>
      <c r="K138" s="54">
        <v>0</v>
      </c>
      <c r="L138" s="54">
        <f>M138*P138</f>
        <v>4108</v>
      </c>
      <c r="M138" s="54">
        <f>(I138-K138)/J138</f>
        <v>4108</v>
      </c>
      <c r="N138" s="54">
        <f>I138-L138</f>
        <v>16432</v>
      </c>
      <c r="O138" s="38"/>
      <c r="P138" s="44">
        <v>1</v>
      </c>
    </row>
    <row r="139" spans="1:16" x14ac:dyDescent="0.25">
      <c r="A139" s="38">
        <v>385</v>
      </c>
      <c r="B139" s="38" t="s">
        <v>504</v>
      </c>
      <c r="C139" s="38">
        <v>2</v>
      </c>
      <c r="D139" s="41" t="s">
        <v>11</v>
      </c>
      <c r="E139" s="38" t="s">
        <v>262</v>
      </c>
      <c r="F139" s="38"/>
      <c r="G139" s="38"/>
      <c r="H139" s="42">
        <v>45716</v>
      </c>
      <c r="I139" s="43">
        <v>5171</v>
      </c>
      <c r="J139" s="38">
        <v>5</v>
      </c>
      <c r="K139" s="54">
        <v>0</v>
      </c>
      <c r="L139" s="54">
        <f>M139*P139</f>
        <v>1034.2</v>
      </c>
      <c r="M139" s="54">
        <f>(I139-K139)/J139</f>
        <v>1034.2</v>
      </c>
      <c r="N139" s="54">
        <f>I139-L139</f>
        <v>4136.8</v>
      </c>
      <c r="O139" s="38"/>
      <c r="P139" s="44">
        <v>1</v>
      </c>
    </row>
    <row r="140" spans="1:16" x14ac:dyDescent="0.25">
      <c r="A140" s="38">
        <v>386</v>
      </c>
      <c r="B140" s="38" t="s">
        <v>505</v>
      </c>
      <c r="C140" s="38">
        <v>1</v>
      </c>
      <c r="D140" s="41" t="s">
        <v>11</v>
      </c>
      <c r="E140" s="38" t="s">
        <v>262</v>
      </c>
      <c r="F140" s="38"/>
      <c r="G140" s="38" t="s">
        <v>506</v>
      </c>
      <c r="H140" s="42">
        <v>45716</v>
      </c>
      <c r="I140" s="43">
        <v>2898</v>
      </c>
      <c r="J140" s="38">
        <v>5</v>
      </c>
      <c r="K140" s="54">
        <v>0</v>
      </c>
      <c r="L140" s="54">
        <f>M140*P140</f>
        <v>579.6</v>
      </c>
      <c r="M140" s="54">
        <f>(I140-K140)/J140</f>
        <v>579.6</v>
      </c>
      <c r="N140" s="54">
        <f>I140-L140</f>
        <v>2318.4</v>
      </c>
      <c r="O140" s="38"/>
      <c r="P140" s="44">
        <v>1</v>
      </c>
    </row>
    <row r="141" spans="1:16" x14ac:dyDescent="0.25">
      <c r="A141" s="38">
        <v>387</v>
      </c>
      <c r="B141" s="38" t="s">
        <v>507</v>
      </c>
      <c r="C141" s="38">
        <v>8</v>
      </c>
      <c r="D141" s="41" t="s">
        <v>11</v>
      </c>
      <c r="E141" s="38" t="s">
        <v>135</v>
      </c>
      <c r="F141" s="38"/>
      <c r="G141" s="38"/>
      <c r="H141" s="42">
        <v>45721</v>
      </c>
      <c r="I141" s="43">
        <v>4640</v>
      </c>
      <c r="J141" s="38">
        <v>5</v>
      </c>
      <c r="K141" s="54">
        <v>0</v>
      </c>
      <c r="L141" s="54">
        <f>M141*P141</f>
        <v>928</v>
      </c>
      <c r="M141" s="54">
        <f>(I141-K141)/J141</f>
        <v>928</v>
      </c>
      <c r="N141" s="54">
        <f>I141-L141</f>
        <v>3712</v>
      </c>
      <c r="O141" s="38" t="s">
        <v>245</v>
      </c>
      <c r="P141" s="44">
        <v>1</v>
      </c>
    </row>
    <row r="142" spans="1:16" x14ac:dyDescent="0.25">
      <c r="A142" s="38">
        <v>388</v>
      </c>
      <c r="B142" s="92" t="s">
        <v>521</v>
      </c>
      <c r="C142" s="38">
        <v>1</v>
      </c>
      <c r="D142" s="41" t="s">
        <v>9</v>
      </c>
      <c r="E142" s="38" t="s">
        <v>517</v>
      </c>
      <c r="F142" s="38"/>
      <c r="G142" s="38"/>
      <c r="H142" s="42">
        <v>45721</v>
      </c>
      <c r="I142" s="43">
        <v>73000</v>
      </c>
      <c r="J142" s="38">
        <v>10</v>
      </c>
      <c r="K142" s="54">
        <v>7300</v>
      </c>
      <c r="L142" s="54">
        <f>M142*P142</f>
        <v>6570</v>
      </c>
      <c r="M142" s="54">
        <f>(I142-K142)/J142</f>
        <v>6570</v>
      </c>
      <c r="N142" s="54">
        <f>I142-L142</f>
        <v>66430</v>
      </c>
      <c r="O142" s="38"/>
      <c r="P142" s="44">
        <v>1</v>
      </c>
    </row>
    <row r="143" spans="1:16" x14ac:dyDescent="0.25">
      <c r="A143" s="38">
        <v>389</v>
      </c>
      <c r="B143" s="92" t="s">
        <v>511</v>
      </c>
      <c r="C143" s="38">
        <v>1</v>
      </c>
      <c r="D143" s="41" t="s">
        <v>11</v>
      </c>
      <c r="E143" s="38" t="s">
        <v>201</v>
      </c>
      <c r="F143" s="38"/>
      <c r="G143" s="38"/>
      <c r="H143" s="42">
        <v>45728</v>
      </c>
      <c r="I143" s="95">
        <v>2347.9499999999998</v>
      </c>
      <c r="J143" s="38">
        <v>5</v>
      </c>
      <c r="K143" s="54">
        <v>0</v>
      </c>
      <c r="L143" s="54">
        <f>M143*P143</f>
        <v>469.59</v>
      </c>
      <c r="M143" s="54">
        <f>(I143-K143)/J143</f>
        <v>469.59</v>
      </c>
      <c r="N143" s="54">
        <f>I143-L143</f>
        <v>1878.36</v>
      </c>
      <c r="O143" s="38"/>
      <c r="P143" s="44">
        <v>1</v>
      </c>
    </row>
    <row r="144" spans="1:16" x14ac:dyDescent="0.25">
      <c r="A144" s="38">
        <v>390</v>
      </c>
      <c r="B144" s="38" t="s">
        <v>509</v>
      </c>
      <c r="C144" s="38">
        <v>3</v>
      </c>
      <c r="D144" s="41" t="s">
        <v>11</v>
      </c>
      <c r="E144" s="38" t="s">
        <v>125</v>
      </c>
      <c r="F144" s="38"/>
      <c r="G144" s="38"/>
      <c r="H144" s="42">
        <v>45729</v>
      </c>
      <c r="I144" s="43">
        <v>9534</v>
      </c>
      <c r="J144" s="38">
        <v>5</v>
      </c>
      <c r="K144" s="54">
        <v>0</v>
      </c>
      <c r="L144" s="54">
        <f>M144*P144</f>
        <v>1906.8</v>
      </c>
      <c r="M144" s="54">
        <f>(I144-K144)/J144</f>
        <v>1906.8</v>
      </c>
      <c r="N144" s="54">
        <f>I144-L144</f>
        <v>7627.2</v>
      </c>
      <c r="O144" s="38" t="s">
        <v>510</v>
      </c>
      <c r="P144" s="44">
        <v>1</v>
      </c>
    </row>
    <row r="145" spans="1:16" x14ac:dyDescent="0.25">
      <c r="A145" s="38">
        <v>391</v>
      </c>
      <c r="B145" s="41" t="s">
        <v>512</v>
      </c>
      <c r="C145" s="38">
        <v>1</v>
      </c>
      <c r="D145" s="41" t="s">
        <v>11</v>
      </c>
      <c r="E145" s="38" t="s">
        <v>399</v>
      </c>
      <c r="F145" s="38"/>
      <c r="G145" s="38"/>
      <c r="H145" s="42">
        <v>45733</v>
      </c>
      <c r="I145" s="43">
        <v>15000</v>
      </c>
      <c r="J145" s="38">
        <v>10</v>
      </c>
      <c r="K145" s="54">
        <v>1500</v>
      </c>
      <c r="L145" s="54">
        <f>M145*P145</f>
        <v>1350</v>
      </c>
      <c r="M145" s="54">
        <f>(I145-K145)/J145</f>
        <v>1350</v>
      </c>
      <c r="N145" s="54">
        <f>I145-L145</f>
        <v>13650</v>
      </c>
      <c r="O145" s="38"/>
      <c r="P145" s="44">
        <v>1</v>
      </c>
    </row>
    <row r="146" spans="1:16" x14ac:dyDescent="0.25">
      <c r="A146" s="38">
        <v>392</v>
      </c>
      <c r="B146" s="2" t="s">
        <v>513</v>
      </c>
      <c r="C146" s="38">
        <v>1</v>
      </c>
      <c r="D146" s="41" t="s">
        <v>8</v>
      </c>
      <c r="E146" s="38" t="s">
        <v>92</v>
      </c>
      <c r="F146" s="38"/>
      <c r="G146" s="38"/>
      <c r="H146" s="42">
        <v>45733</v>
      </c>
      <c r="I146" s="38">
        <v>2740.91</v>
      </c>
      <c r="J146" s="43">
        <v>3</v>
      </c>
      <c r="K146" s="54">
        <v>0</v>
      </c>
      <c r="L146" s="54">
        <f>M146*P146</f>
        <v>913.63666666666666</v>
      </c>
      <c r="M146" s="54">
        <f>(I146-K146)/J146</f>
        <v>913.63666666666666</v>
      </c>
      <c r="N146" s="54">
        <f>I146-L146</f>
        <v>1827.2733333333331</v>
      </c>
      <c r="O146" s="38" t="s">
        <v>514</v>
      </c>
      <c r="P146" s="44">
        <v>1</v>
      </c>
    </row>
    <row r="147" spans="1:16" x14ac:dyDescent="0.25">
      <c r="A147" s="38">
        <v>393</v>
      </c>
      <c r="B147" s="2" t="s">
        <v>515</v>
      </c>
      <c r="C147" s="38">
        <v>1</v>
      </c>
      <c r="D147" s="41" t="s">
        <v>8</v>
      </c>
      <c r="E147" s="38" t="s">
        <v>92</v>
      </c>
      <c r="F147" s="38"/>
      <c r="G147" s="38"/>
      <c r="H147" s="42">
        <v>45733</v>
      </c>
      <c r="I147" s="38">
        <v>2740.91</v>
      </c>
      <c r="J147" s="43">
        <v>3</v>
      </c>
      <c r="K147" s="54">
        <v>0</v>
      </c>
      <c r="L147" s="54">
        <f>M147*P147</f>
        <v>913.63666666666666</v>
      </c>
      <c r="M147" s="54">
        <f>(I147-K147)/J147</f>
        <v>913.63666666666666</v>
      </c>
      <c r="N147" s="54">
        <f>I147-L147</f>
        <v>1827.2733333333331</v>
      </c>
      <c r="O147" s="38" t="s">
        <v>514</v>
      </c>
      <c r="P147" s="44">
        <v>1</v>
      </c>
    </row>
    <row r="148" spans="1:16" x14ac:dyDescent="0.25">
      <c r="A148" s="38">
        <v>394</v>
      </c>
      <c r="B148" s="38" t="s">
        <v>521</v>
      </c>
      <c r="C148" s="38">
        <v>1</v>
      </c>
      <c r="D148" s="41" t="s">
        <v>9</v>
      </c>
      <c r="E148" s="38" t="s">
        <v>517</v>
      </c>
      <c r="F148" s="38"/>
      <c r="G148" s="38"/>
      <c r="H148" s="42">
        <v>45734</v>
      </c>
      <c r="I148" s="43">
        <v>73000</v>
      </c>
      <c r="J148" s="38">
        <v>10</v>
      </c>
      <c r="K148" s="54">
        <v>7300</v>
      </c>
      <c r="L148" s="54">
        <f>M148*P148</f>
        <v>6570</v>
      </c>
      <c r="M148" s="54">
        <f>(I148-K148)/J148</f>
        <v>6570</v>
      </c>
      <c r="N148" s="54">
        <f>I148-L148</f>
        <v>66430</v>
      </c>
      <c r="O148" s="38"/>
      <c r="P148" s="44">
        <v>1</v>
      </c>
    </row>
    <row r="149" spans="1:16" x14ac:dyDescent="0.25">
      <c r="A149" s="38">
        <v>395</v>
      </c>
      <c r="B149" s="92" t="s">
        <v>522</v>
      </c>
      <c r="C149" s="38">
        <v>1</v>
      </c>
      <c r="D149" s="41" t="s">
        <v>9</v>
      </c>
      <c r="E149" s="38" t="s">
        <v>517</v>
      </c>
      <c r="F149" s="38"/>
      <c r="G149" s="38" t="s">
        <v>523</v>
      </c>
      <c r="H149" s="42">
        <v>45736</v>
      </c>
      <c r="I149" s="43">
        <v>159000</v>
      </c>
      <c r="J149" s="38">
        <v>10</v>
      </c>
      <c r="K149" s="54">
        <v>15900</v>
      </c>
      <c r="L149" s="54">
        <f>M149*P149</f>
        <v>14310</v>
      </c>
      <c r="M149" s="54">
        <f>(I149-K149)/J149</f>
        <v>14310</v>
      </c>
      <c r="N149" s="54">
        <f>I149-L149</f>
        <v>144690</v>
      </c>
      <c r="O149" s="38"/>
      <c r="P149" s="44">
        <v>1</v>
      </c>
    </row>
    <row r="150" spans="1:16" x14ac:dyDescent="0.25">
      <c r="A150" s="38">
        <v>396</v>
      </c>
      <c r="B150" t="s">
        <v>525</v>
      </c>
      <c r="C150" s="38">
        <v>1</v>
      </c>
      <c r="D150" s="38" t="s">
        <v>11</v>
      </c>
      <c r="E150" s="38" t="s">
        <v>125</v>
      </c>
      <c r="F150" s="38"/>
      <c r="G150" s="38"/>
      <c r="H150" s="42">
        <v>45747</v>
      </c>
      <c r="I150" s="43">
        <v>1015</v>
      </c>
      <c r="J150" s="38">
        <v>5</v>
      </c>
      <c r="K150" s="39">
        <v>0</v>
      </c>
      <c r="L150" s="54">
        <f>M150*P150</f>
        <v>203</v>
      </c>
      <c r="M150" s="39">
        <f>(I150-K150)/J150</f>
        <v>203</v>
      </c>
      <c r="N150" s="39">
        <f>I150-L150</f>
        <v>812</v>
      </c>
      <c r="O150" s="38"/>
      <c r="P150" s="40">
        <v>1</v>
      </c>
    </row>
    <row r="151" spans="1:16" x14ac:dyDescent="0.25">
      <c r="A151" s="38">
        <v>397</v>
      </c>
      <c r="B151" t="s">
        <v>526</v>
      </c>
      <c r="C151" s="38">
        <v>1</v>
      </c>
      <c r="D151" s="38" t="s">
        <v>11</v>
      </c>
      <c r="E151" s="38" t="s">
        <v>125</v>
      </c>
      <c r="F151" s="38"/>
      <c r="G151" s="38"/>
      <c r="H151" s="42">
        <v>45747</v>
      </c>
      <c r="I151" s="43">
        <v>4159.5600000000004</v>
      </c>
      <c r="J151" s="38">
        <v>5</v>
      </c>
      <c r="K151" s="39">
        <v>0</v>
      </c>
      <c r="L151" s="54">
        <f>M151*P151</f>
        <v>831.91200000000003</v>
      </c>
      <c r="M151" s="39">
        <f>(I151-K151)/J151</f>
        <v>831.91200000000003</v>
      </c>
      <c r="N151" s="39">
        <f>I151-L151</f>
        <v>3327.6480000000001</v>
      </c>
      <c r="O151" s="38"/>
      <c r="P151" s="40">
        <v>1</v>
      </c>
    </row>
    <row r="152" spans="1:16" x14ac:dyDescent="0.25">
      <c r="A152" s="38">
        <v>398</v>
      </c>
      <c r="B152" t="s">
        <v>527</v>
      </c>
      <c r="C152" s="38">
        <v>1</v>
      </c>
      <c r="D152" s="38" t="s">
        <v>9</v>
      </c>
      <c r="E152" s="38" t="s">
        <v>528</v>
      </c>
      <c r="F152" s="38"/>
      <c r="G152" s="38"/>
      <c r="H152" s="42">
        <v>45748</v>
      </c>
      <c r="I152" s="43">
        <v>14710</v>
      </c>
      <c r="J152" s="38">
        <v>5</v>
      </c>
      <c r="K152" s="39">
        <v>0</v>
      </c>
      <c r="L152" s="54">
        <f>M152*P152</f>
        <v>2942</v>
      </c>
      <c r="M152" s="39">
        <f>(I152-K152)/J152</f>
        <v>2942</v>
      </c>
      <c r="N152" s="39">
        <f>I152-L152</f>
        <v>11768</v>
      </c>
      <c r="O152" s="38"/>
      <c r="P152" s="40">
        <v>1</v>
      </c>
    </row>
    <row r="153" spans="1:16" x14ac:dyDescent="0.25">
      <c r="A153" s="38">
        <v>399</v>
      </c>
      <c r="B153" s="92" t="s">
        <v>530</v>
      </c>
      <c r="C153" s="38">
        <v>2</v>
      </c>
      <c r="D153" s="41" t="s">
        <v>11</v>
      </c>
      <c r="E153" s="38" t="s">
        <v>238</v>
      </c>
      <c r="F153" s="38"/>
      <c r="G153" s="38"/>
      <c r="H153" s="42">
        <v>45749</v>
      </c>
      <c r="I153" s="43">
        <v>3677.4</v>
      </c>
      <c r="J153" s="38">
        <v>10</v>
      </c>
      <c r="K153" s="54">
        <v>0</v>
      </c>
      <c r="L153" s="54">
        <f>M153*P153</f>
        <v>367.74</v>
      </c>
      <c r="M153" s="54">
        <f>(I153-K153)/J153</f>
        <v>367.74</v>
      </c>
      <c r="N153" s="54">
        <f>I153-L153</f>
        <v>3309.66</v>
      </c>
      <c r="O153" s="38" t="s">
        <v>531</v>
      </c>
      <c r="P153" s="44">
        <v>1</v>
      </c>
    </row>
    <row r="154" spans="1:16" x14ac:dyDescent="0.25">
      <c r="A154" s="38">
        <v>400</v>
      </c>
      <c r="B154" s="2" t="s">
        <v>529</v>
      </c>
      <c r="C154" s="38">
        <v>1</v>
      </c>
      <c r="D154" s="41" t="s">
        <v>11</v>
      </c>
      <c r="E154" s="38" t="s">
        <v>108</v>
      </c>
      <c r="F154" s="38"/>
      <c r="G154" s="38"/>
      <c r="H154" s="42">
        <v>45750</v>
      </c>
      <c r="I154" s="43">
        <v>1992.15</v>
      </c>
      <c r="J154" s="38">
        <v>5</v>
      </c>
      <c r="K154" s="54">
        <v>0</v>
      </c>
      <c r="L154" s="54">
        <f>M154*P154</f>
        <v>398.43</v>
      </c>
      <c r="M154" s="54">
        <f>(I154-K154)/J154</f>
        <v>398.43</v>
      </c>
      <c r="N154" s="54">
        <f>I154-L154</f>
        <v>1593.72</v>
      </c>
      <c r="O154" s="38"/>
      <c r="P154" s="44">
        <v>1</v>
      </c>
    </row>
    <row r="155" spans="1:16" x14ac:dyDescent="0.25">
      <c r="A155" s="38">
        <v>401</v>
      </c>
      <c r="B155" s="38" t="s">
        <v>532</v>
      </c>
      <c r="C155" s="38">
        <v>1</v>
      </c>
      <c r="D155" s="41" t="s">
        <v>11</v>
      </c>
      <c r="E155" s="38" t="s">
        <v>533</v>
      </c>
      <c r="F155" s="38"/>
      <c r="G155" s="38"/>
      <c r="H155" s="42">
        <v>45754</v>
      </c>
      <c r="I155" s="43">
        <v>1206.3599999999999</v>
      </c>
      <c r="J155" s="38">
        <v>3</v>
      </c>
      <c r="K155" s="54">
        <v>0</v>
      </c>
      <c r="L155" s="54">
        <f>M155*P155</f>
        <v>402.11999999999995</v>
      </c>
      <c r="M155" s="54">
        <f>(I155-K155)/J155</f>
        <v>402.11999999999995</v>
      </c>
      <c r="N155" s="54">
        <f>I155-L155</f>
        <v>804.24</v>
      </c>
      <c r="O155" s="38"/>
      <c r="P155" s="44">
        <v>1</v>
      </c>
    </row>
    <row r="156" spans="1:16" x14ac:dyDescent="0.25">
      <c r="A156" s="38">
        <v>402</v>
      </c>
      <c r="B156" s="38" t="s">
        <v>534</v>
      </c>
      <c r="C156" s="38">
        <v>1</v>
      </c>
      <c r="D156" s="41" t="s">
        <v>11</v>
      </c>
      <c r="E156" s="38" t="s">
        <v>201</v>
      </c>
      <c r="F156" s="38"/>
      <c r="G156" s="38"/>
      <c r="H156" s="42">
        <v>45754</v>
      </c>
      <c r="I156" s="43">
        <v>1340.91</v>
      </c>
      <c r="J156" s="38">
        <v>5</v>
      </c>
      <c r="K156" s="54">
        <v>0</v>
      </c>
      <c r="L156" s="54">
        <f>M156*P156</f>
        <v>268.18200000000002</v>
      </c>
      <c r="M156" s="54">
        <f>(I156-K156)/J156</f>
        <v>268.18200000000002</v>
      </c>
      <c r="N156" s="54">
        <f>I156-L156</f>
        <v>1072.7280000000001</v>
      </c>
      <c r="O156" s="38"/>
      <c r="P156" s="44">
        <v>1</v>
      </c>
    </row>
    <row r="157" spans="1:16" x14ac:dyDescent="0.25">
      <c r="A157" s="38">
        <v>403</v>
      </c>
      <c r="B157" s="38" t="s">
        <v>535</v>
      </c>
      <c r="C157" s="38">
        <v>1</v>
      </c>
      <c r="D157" s="41" t="s">
        <v>11</v>
      </c>
      <c r="E157" s="38" t="s">
        <v>536</v>
      </c>
      <c r="F157" s="38"/>
      <c r="G157" s="38" t="s">
        <v>537</v>
      </c>
      <c r="H157" s="42">
        <v>45758</v>
      </c>
      <c r="I157" s="43">
        <v>2800</v>
      </c>
      <c r="J157" s="38">
        <v>5</v>
      </c>
      <c r="K157" s="54">
        <v>0</v>
      </c>
      <c r="L157" s="54">
        <f>M157*P157</f>
        <v>560</v>
      </c>
      <c r="M157" s="54">
        <f>(I157-K157)/J157</f>
        <v>560</v>
      </c>
      <c r="N157" s="54">
        <f>I157-L157</f>
        <v>2240</v>
      </c>
      <c r="O157" s="38"/>
      <c r="P157" s="44">
        <v>1</v>
      </c>
    </row>
    <row r="158" spans="1:16" x14ac:dyDescent="0.25">
      <c r="A158" s="38">
        <v>404</v>
      </c>
      <c r="B158" s="38" t="s">
        <v>544</v>
      </c>
      <c r="C158" s="38">
        <v>1</v>
      </c>
      <c r="D158" s="41" t="s">
        <v>8</v>
      </c>
      <c r="E158" s="38" t="s">
        <v>545</v>
      </c>
      <c r="F158" s="38"/>
      <c r="G158" s="38" t="s">
        <v>546</v>
      </c>
      <c r="H158" s="42">
        <v>45777</v>
      </c>
      <c r="I158" s="43">
        <v>3700</v>
      </c>
      <c r="J158" s="38">
        <v>3</v>
      </c>
      <c r="K158" s="54">
        <v>0</v>
      </c>
      <c r="L158" s="54">
        <f>M158*P158</f>
        <v>1233.3333333333333</v>
      </c>
      <c r="M158" s="54">
        <f>(I158-K158)/J158</f>
        <v>1233.3333333333333</v>
      </c>
      <c r="N158" s="54">
        <f>I158-L158</f>
        <v>2466.666666666667</v>
      </c>
      <c r="O158" s="38"/>
      <c r="P158" s="44">
        <v>1</v>
      </c>
    </row>
    <row r="159" spans="1:16" x14ac:dyDescent="0.25">
      <c r="A159" s="38">
        <v>405</v>
      </c>
      <c r="B159" s="38" t="s">
        <v>538</v>
      </c>
      <c r="C159" s="38">
        <v>1</v>
      </c>
      <c r="D159" s="41" t="s">
        <v>9</v>
      </c>
      <c r="E159" s="38" t="s">
        <v>517</v>
      </c>
      <c r="F159" s="38"/>
      <c r="G159" s="38"/>
      <c r="H159" s="42">
        <v>45778</v>
      </c>
      <c r="I159" s="43">
        <v>70000</v>
      </c>
      <c r="J159" s="38">
        <v>10</v>
      </c>
      <c r="K159" s="54">
        <v>7000</v>
      </c>
      <c r="L159" s="54">
        <f>M159*P159</f>
        <v>6300</v>
      </c>
      <c r="M159" s="54">
        <f>(I159-K159)/J159</f>
        <v>6300</v>
      </c>
      <c r="N159" s="54">
        <f>I159-L159</f>
        <v>63700</v>
      </c>
      <c r="O159" s="38"/>
      <c r="P159" s="44">
        <v>1</v>
      </c>
    </row>
    <row r="160" spans="1:16" x14ac:dyDescent="0.25">
      <c r="A160" s="38">
        <v>406</v>
      </c>
      <c r="B160" s="92" t="s">
        <v>539</v>
      </c>
      <c r="C160" s="38">
        <v>1</v>
      </c>
      <c r="D160" s="41" t="s">
        <v>11</v>
      </c>
      <c r="E160" s="38" t="s">
        <v>540</v>
      </c>
      <c r="F160" s="38"/>
      <c r="G160" s="88" t="s">
        <v>541</v>
      </c>
      <c r="H160" s="42">
        <v>45783</v>
      </c>
      <c r="I160" s="43">
        <v>1768.18</v>
      </c>
      <c r="J160" s="38">
        <v>3</v>
      </c>
      <c r="K160" s="54">
        <v>0</v>
      </c>
      <c r="L160" s="54">
        <f>M160*P160</f>
        <v>589.39333333333332</v>
      </c>
      <c r="M160" s="54">
        <f>(I160-K160)/J160</f>
        <v>589.39333333333332</v>
      </c>
      <c r="N160" s="54">
        <f>I160-L160</f>
        <v>1178.7866666666669</v>
      </c>
      <c r="O160" s="38" t="s">
        <v>542</v>
      </c>
      <c r="P160" s="44">
        <v>1</v>
      </c>
    </row>
    <row r="161" spans="1:16" x14ac:dyDescent="0.25">
      <c r="A161" s="38">
        <v>407</v>
      </c>
      <c r="B161" s="89" t="s">
        <v>547</v>
      </c>
      <c r="C161" s="38">
        <v>1</v>
      </c>
      <c r="D161" s="41" t="s">
        <v>11</v>
      </c>
      <c r="E161" s="38" t="s">
        <v>262</v>
      </c>
      <c r="F161" s="38"/>
      <c r="G161" s="38"/>
      <c r="H161" s="42">
        <v>45790</v>
      </c>
      <c r="I161" s="43">
        <v>2470</v>
      </c>
      <c r="J161" s="38">
        <v>5</v>
      </c>
      <c r="K161" s="54">
        <v>0</v>
      </c>
      <c r="L161" s="54">
        <f>M161*P161</f>
        <v>494</v>
      </c>
      <c r="M161" s="54">
        <f>(I161-K161)/J161</f>
        <v>494</v>
      </c>
      <c r="N161" s="54">
        <f>I161-L161</f>
        <v>1976</v>
      </c>
      <c r="O161" s="38"/>
      <c r="P161" s="44">
        <v>1</v>
      </c>
    </row>
    <row r="162" spans="1:16" x14ac:dyDescent="0.25">
      <c r="A162" s="82">
        <v>408</v>
      </c>
      <c r="B162" s="93" t="s">
        <v>548</v>
      </c>
      <c r="C162" s="38">
        <v>1</v>
      </c>
      <c r="D162" s="41" t="s">
        <v>11</v>
      </c>
      <c r="E162" s="38" t="s">
        <v>262</v>
      </c>
      <c r="F162" s="38"/>
      <c r="G162" s="38"/>
      <c r="H162" s="42">
        <v>45790</v>
      </c>
      <c r="I162" s="43">
        <v>2470</v>
      </c>
      <c r="J162" s="38">
        <v>5</v>
      </c>
      <c r="K162" s="54">
        <v>0</v>
      </c>
      <c r="L162" s="54">
        <f>M162*P162</f>
        <v>494</v>
      </c>
      <c r="M162" s="54">
        <f>(I162-K162)/J162</f>
        <v>494</v>
      </c>
      <c r="N162" s="54">
        <f>I162-L162</f>
        <v>1976</v>
      </c>
      <c r="O162" s="38"/>
      <c r="P162" s="44">
        <v>1</v>
      </c>
    </row>
    <row r="163" spans="1:16" x14ac:dyDescent="0.25">
      <c r="A163" s="38">
        <v>409</v>
      </c>
      <c r="B163" s="2" t="s">
        <v>549</v>
      </c>
      <c r="C163" s="38">
        <v>1</v>
      </c>
      <c r="D163" s="41" t="s">
        <v>11</v>
      </c>
      <c r="E163" s="38" t="s">
        <v>262</v>
      </c>
      <c r="F163" s="38"/>
      <c r="G163" s="38"/>
      <c r="H163" s="42">
        <v>45790</v>
      </c>
      <c r="I163" s="43">
        <v>2470</v>
      </c>
      <c r="J163" s="38">
        <v>5</v>
      </c>
      <c r="K163" s="54">
        <v>0</v>
      </c>
      <c r="L163" s="54">
        <f>M163*P163</f>
        <v>494</v>
      </c>
      <c r="M163" s="54">
        <f>(I163-K163)/J163</f>
        <v>494</v>
      </c>
      <c r="N163" s="54">
        <f>I163-L163</f>
        <v>1976</v>
      </c>
      <c r="O163" s="38"/>
      <c r="P163" s="44">
        <v>1</v>
      </c>
    </row>
    <row r="164" spans="1:16" x14ac:dyDescent="0.25">
      <c r="A164" s="34">
        <v>410</v>
      </c>
      <c r="B164" s="2" t="s">
        <v>550</v>
      </c>
      <c r="C164" s="38">
        <v>1</v>
      </c>
      <c r="D164" s="41" t="s">
        <v>11</v>
      </c>
      <c r="E164" s="38" t="s">
        <v>262</v>
      </c>
      <c r="F164" s="38"/>
      <c r="G164" s="38"/>
      <c r="H164" s="42">
        <v>45790</v>
      </c>
      <c r="I164" s="43">
        <v>2089.1</v>
      </c>
      <c r="J164" s="38">
        <v>5</v>
      </c>
      <c r="K164" s="54">
        <v>0</v>
      </c>
      <c r="L164" s="54">
        <f>M164*P164</f>
        <v>417.82</v>
      </c>
      <c r="M164" s="54">
        <f>(I164-K164)/J164</f>
        <v>417.82</v>
      </c>
      <c r="N164" s="54">
        <f>I164-L164</f>
        <v>1671.28</v>
      </c>
      <c r="O164" s="38"/>
      <c r="P164" s="44">
        <v>1</v>
      </c>
    </row>
    <row r="165" spans="1:16" x14ac:dyDescent="0.25">
      <c r="A165" s="38">
        <v>411</v>
      </c>
      <c r="B165" s="2" t="s">
        <v>551</v>
      </c>
      <c r="C165" s="38">
        <v>1</v>
      </c>
      <c r="D165" s="41" t="s">
        <v>11</v>
      </c>
      <c r="E165" s="38" t="s">
        <v>262</v>
      </c>
      <c r="F165" s="38"/>
      <c r="G165" s="38"/>
      <c r="H165" s="42">
        <v>45790</v>
      </c>
      <c r="I165" s="43">
        <v>2089.1</v>
      </c>
      <c r="J165" s="38">
        <v>5</v>
      </c>
      <c r="K165" s="54">
        <v>0</v>
      </c>
      <c r="L165" s="54">
        <f>M165*P165</f>
        <v>417.82</v>
      </c>
      <c r="M165" s="54">
        <f>(I165-K165)/J165</f>
        <v>417.82</v>
      </c>
      <c r="N165" s="54">
        <f>I165-L165</f>
        <v>1671.28</v>
      </c>
      <c r="O165" s="38"/>
      <c r="P165" s="44">
        <v>1</v>
      </c>
    </row>
    <row r="166" spans="1:16" x14ac:dyDescent="0.25">
      <c r="A166" s="38">
        <v>412</v>
      </c>
      <c r="B166" s="2" t="s">
        <v>552</v>
      </c>
      <c r="C166" s="38">
        <v>1</v>
      </c>
      <c r="D166" s="41" t="s">
        <v>11</v>
      </c>
      <c r="E166" s="38" t="s">
        <v>262</v>
      </c>
      <c r="F166" s="38"/>
      <c r="G166" s="38"/>
      <c r="H166" s="42">
        <v>45790</v>
      </c>
      <c r="I166" s="43">
        <v>2089.1</v>
      </c>
      <c r="J166" s="38">
        <v>5</v>
      </c>
      <c r="K166" s="54">
        <v>0</v>
      </c>
      <c r="L166" s="54">
        <f>M166*P166</f>
        <v>417.82</v>
      </c>
      <c r="M166" s="54">
        <f>(I166-K166)/J166</f>
        <v>417.82</v>
      </c>
      <c r="N166" s="54">
        <f>I166-L166</f>
        <v>1671.28</v>
      </c>
      <c r="O166" s="38"/>
      <c r="P166" s="44">
        <v>1</v>
      </c>
    </row>
    <row r="167" spans="1:16" x14ac:dyDescent="0.25">
      <c r="A167" s="38">
        <v>413</v>
      </c>
      <c r="B167" s="89" t="s">
        <v>543</v>
      </c>
      <c r="C167" s="38">
        <v>2</v>
      </c>
      <c r="D167" s="41" t="s">
        <v>8</v>
      </c>
      <c r="E167" s="38" t="s">
        <v>92</v>
      </c>
      <c r="F167" s="38"/>
      <c r="G167" s="38"/>
      <c r="H167" s="42">
        <v>45793</v>
      </c>
      <c r="I167" s="43">
        <v>2467.4</v>
      </c>
      <c r="J167" s="38">
        <v>3</v>
      </c>
      <c r="K167" s="54">
        <v>0</v>
      </c>
      <c r="L167" s="54">
        <f>M167*P167</f>
        <v>822.4666666666667</v>
      </c>
      <c r="M167" s="54">
        <f>(I167-K167)/J167</f>
        <v>822.4666666666667</v>
      </c>
      <c r="N167" s="54">
        <f>I167-L167</f>
        <v>1644.9333333333334</v>
      </c>
      <c r="O167" s="38"/>
      <c r="P167" s="44">
        <v>1</v>
      </c>
    </row>
    <row r="168" spans="1:16" x14ac:dyDescent="0.25">
      <c r="A168" s="38">
        <v>414</v>
      </c>
      <c r="B168" s="92" t="s">
        <v>564</v>
      </c>
      <c r="C168" s="38">
        <v>1</v>
      </c>
      <c r="D168" s="41" t="s">
        <v>11</v>
      </c>
      <c r="E168" s="38" t="s">
        <v>565</v>
      </c>
      <c r="F168" s="38"/>
      <c r="G168" s="38"/>
      <c r="H168" s="42">
        <v>45799</v>
      </c>
      <c r="I168" s="43">
        <v>543</v>
      </c>
      <c r="J168" s="38">
        <v>5</v>
      </c>
      <c r="K168" s="54">
        <v>0</v>
      </c>
      <c r="L168" s="54">
        <f>M168*P168</f>
        <v>108.6</v>
      </c>
      <c r="M168" s="54">
        <f>(I168-K168)/J168</f>
        <v>108.6</v>
      </c>
      <c r="N168" s="54">
        <f>I168-L168</f>
        <v>434.4</v>
      </c>
      <c r="O168" s="38"/>
      <c r="P168" s="44">
        <v>1</v>
      </c>
    </row>
    <row r="169" spans="1:16" x14ac:dyDescent="0.25">
      <c r="A169" s="38">
        <v>415</v>
      </c>
      <c r="B169" s="38" t="s">
        <v>554</v>
      </c>
      <c r="C169" s="38">
        <v>1</v>
      </c>
      <c r="D169" s="41" t="s">
        <v>8</v>
      </c>
      <c r="E169" s="38" t="s">
        <v>555</v>
      </c>
      <c r="F169" s="38"/>
      <c r="G169" s="38">
        <v>892514348</v>
      </c>
      <c r="H169" s="42">
        <v>45804</v>
      </c>
      <c r="I169" s="43">
        <v>1217</v>
      </c>
      <c r="J169" s="38">
        <v>3</v>
      </c>
      <c r="K169" s="54">
        <v>0</v>
      </c>
      <c r="L169" s="54">
        <f>M169*P169</f>
        <v>405.66666666666669</v>
      </c>
      <c r="M169" s="54">
        <f>(I169-K169)/J169</f>
        <v>405.66666666666669</v>
      </c>
      <c r="N169" s="54">
        <f>I169-L169</f>
        <v>811.33333333333326</v>
      </c>
      <c r="O169" s="38"/>
      <c r="P169" s="44">
        <v>1</v>
      </c>
    </row>
    <row r="170" spans="1:16" x14ac:dyDescent="0.25">
      <c r="A170" s="38">
        <v>416</v>
      </c>
      <c r="B170" s="38" t="s">
        <v>560</v>
      </c>
      <c r="C170" s="38">
        <v>1</v>
      </c>
      <c r="D170" s="41" t="s">
        <v>11</v>
      </c>
      <c r="E170" s="38" t="s">
        <v>561</v>
      </c>
      <c r="F170" s="38"/>
      <c r="G170" s="38"/>
      <c r="H170" s="42">
        <v>45805</v>
      </c>
      <c r="I170" s="43">
        <v>18750</v>
      </c>
      <c r="J170" s="38">
        <v>5</v>
      </c>
      <c r="K170" s="54">
        <v>0</v>
      </c>
      <c r="L170" s="54">
        <f>M170*P170</f>
        <v>3750</v>
      </c>
      <c r="M170" s="54">
        <f>(I170-K170)/J170</f>
        <v>3750</v>
      </c>
      <c r="N170" s="54">
        <f>I170-L170</f>
        <v>15000</v>
      </c>
      <c r="O170" s="38"/>
      <c r="P170" s="44">
        <v>1</v>
      </c>
    </row>
    <row r="171" spans="1:16" x14ac:dyDescent="0.25">
      <c r="A171" s="38">
        <v>417</v>
      </c>
      <c r="B171" s="89" t="s">
        <v>543</v>
      </c>
      <c r="C171" s="38">
        <v>1</v>
      </c>
      <c r="D171" s="41" t="s">
        <v>8</v>
      </c>
      <c r="E171" s="38" t="s">
        <v>92</v>
      </c>
      <c r="F171" s="38"/>
      <c r="G171" s="38"/>
      <c r="H171" s="42">
        <v>45807</v>
      </c>
      <c r="I171" s="43">
        <v>1233.7</v>
      </c>
      <c r="J171" s="38">
        <v>3</v>
      </c>
      <c r="K171" s="54">
        <v>0</v>
      </c>
      <c r="L171" s="54">
        <f>M171*P171</f>
        <v>411.23333333333335</v>
      </c>
      <c r="M171" s="54">
        <f>(I171-K171)/J171</f>
        <v>411.23333333333335</v>
      </c>
      <c r="N171" s="54">
        <f>I171-L171</f>
        <v>822.4666666666667</v>
      </c>
      <c r="O171" s="38"/>
      <c r="P171" s="44">
        <v>1</v>
      </c>
    </row>
    <row r="172" spans="1:16" x14ac:dyDescent="0.25">
      <c r="A172" s="38">
        <v>418</v>
      </c>
      <c r="B172" s="38" t="s">
        <v>576</v>
      </c>
      <c r="C172" s="38">
        <v>2</v>
      </c>
      <c r="D172" s="41" t="s">
        <v>11</v>
      </c>
      <c r="E172" s="38" t="s">
        <v>197</v>
      </c>
      <c r="F172" s="38"/>
      <c r="G172" s="38"/>
      <c r="H172" s="42">
        <v>45807</v>
      </c>
      <c r="I172" s="43">
        <v>24000</v>
      </c>
      <c r="J172" s="38">
        <v>5</v>
      </c>
      <c r="K172" s="54">
        <v>0</v>
      </c>
      <c r="L172" s="54">
        <f>M172*P172</f>
        <v>4800</v>
      </c>
      <c r="M172" s="54">
        <f>(I172-K172)/J172</f>
        <v>4800</v>
      </c>
      <c r="N172" s="54">
        <f>I172-L172</f>
        <v>19200</v>
      </c>
      <c r="O172" s="38"/>
      <c r="P172" s="44">
        <v>1</v>
      </c>
    </row>
    <row r="173" spans="1:16" x14ac:dyDescent="0.25">
      <c r="A173" s="38">
        <v>419</v>
      </c>
      <c r="B173" s="38" t="s">
        <v>577</v>
      </c>
      <c r="C173" s="38">
        <v>1</v>
      </c>
      <c r="D173" s="41" t="s">
        <v>11</v>
      </c>
      <c r="E173" s="38" t="s">
        <v>197</v>
      </c>
      <c r="F173" s="38"/>
      <c r="G173" s="38"/>
      <c r="H173" s="42">
        <v>45807</v>
      </c>
      <c r="I173" s="43">
        <v>18000</v>
      </c>
      <c r="J173" s="38">
        <v>5</v>
      </c>
      <c r="K173" s="54">
        <v>0</v>
      </c>
      <c r="L173" s="54">
        <f>M173*P173</f>
        <v>3600</v>
      </c>
      <c r="M173" s="54">
        <f>(I173-K173)/J173</f>
        <v>3600</v>
      </c>
      <c r="N173" s="54">
        <f>I173-L173</f>
        <v>14400</v>
      </c>
      <c r="O173" s="38"/>
      <c r="P173" s="44">
        <v>1</v>
      </c>
    </row>
    <row r="174" spans="1:16" x14ac:dyDescent="0.25">
      <c r="A174" s="34">
        <v>420</v>
      </c>
      <c r="B174" s="38" t="s">
        <v>578</v>
      </c>
      <c r="C174" s="38">
        <v>2</v>
      </c>
      <c r="D174" s="41" t="s">
        <v>11</v>
      </c>
      <c r="E174" s="38" t="s">
        <v>197</v>
      </c>
      <c r="F174" s="38"/>
      <c r="G174" s="38"/>
      <c r="H174" s="42">
        <v>45807</v>
      </c>
      <c r="I174" s="43">
        <v>20000</v>
      </c>
      <c r="J174" s="38">
        <v>5</v>
      </c>
      <c r="K174" s="39">
        <v>0</v>
      </c>
      <c r="L174" s="54">
        <f>M174*P174</f>
        <v>4000</v>
      </c>
      <c r="M174" s="39">
        <f>(I174-K174)/J174</f>
        <v>4000</v>
      </c>
      <c r="N174" s="39">
        <f>I174-L174</f>
        <v>16000</v>
      </c>
      <c r="O174" s="38"/>
      <c r="P174" s="40">
        <v>1</v>
      </c>
    </row>
    <row r="175" spans="1:16" x14ac:dyDescent="0.25">
      <c r="A175" s="34">
        <v>421</v>
      </c>
      <c r="B175" s="38" t="s">
        <v>579</v>
      </c>
      <c r="C175" s="38">
        <v>1</v>
      </c>
      <c r="D175" s="41" t="s">
        <v>11</v>
      </c>
      <c r="E175" s="38" t="s">
        <v>197</v>
      </c>
      <c r="F175" s="38"/>
      <c r="G175" s="38"/>
      <c r="H175" s="42">
        <v>45808</v>
      </c>
      <c r="I175" s="43">
        <v>36000</v>
      </c>
      <c r="J175" s="38">
        <v>5</v>
      </c>
      <c r="K175" s="54">
        <v>0</v>
      </c>
      <c r="L175" s="54">
        <f>M175*P175</f>
        <v>7200</v>
      </c>
      <c r="M175" s="54">
        <f>(I175-K175)/J175</f>
        <v>7200</v>
      </c>
      <c r="N175" s="54">
        <f>I175-L175</f>
        <v>28800</v>
      </c>
      <c r="O175" s="38"/>
      <c r="P175" s="44">
        <v>1</v>
      </c>
    </row>
    <row r="176" spans="1:16" x14ac:dyDescent="0.25">
      <c r="A176" s="34">
        <v>422</v>
      </c>
      <c r="B176" s="38" t="s">
        <v>580</v>
      </c>
      <c r="C176" s="38">
        <v>1</v>
      </c>
      <c r="D176" s="41" t="s">
        <v>11</v>
      </c>
      <c r="E176" s="38" t="s">
        <v>197</v>
      </c>
      <c r="F176" s="38"/>
      <c r="G176" s="38"/>
      <c r="H176" s="42">
        <v>45808</v>
      </c>
      <c r="I176" s="43">
        <v>16417.5</v>
      </c>
      <c r="J176" s="38">
        <v>5</v>
      </c>
      <c r="K176" s="54">
        <v>0</v>
      </c>
      <c r="L176" s="54">
        <f>M176*P176</f>
        <v>3283.5</v>
      </c>
      <c r="M176" s="54">
        <f>(I176-K176)/J176</f>
        <v>3283.5</v>
      </c>
      <c r="N176" s="54">
        <f>I176-L176</f>
        <v>13134</v>
      </c>
      <c r="O176" s="38"/>
      <c r="P176" s="44">
        <v>1</v>
      </c>
    </row>
    <row r="177" spans="1:16" ht="30" x14ac:dyDescent="0.25">
      <c r="A177" s="34">
        <v>423</v>
      </c>
      <c r="B177" s="41" t="s">
        <v>553</v>
      </c>
      <c r="C177" s="38">
        <v>1</v>
      </c>
      <c r="D177" s="41" t="s">
        <v>9</v>
      </c>
      <c r="E177" s="38" t="s">
        <v>536</v>
      </c>
      <c r="F177" s="38"/>
      <c r="G177" s="38"/>
      <c r="H177" s="42">
        <v>45810</v>
      </c>
      <c r="I177" s="43">
        <v>27959.53</v>
      </c>
      <c r="J177" s="38">
        <v>5</v>
      </c>
      <c r="K177" s="54">
        <v>0</v>
      </c>
      <c r="L177" s="54">
        <f>M177*P177</f>
        <v>5591.9059999999999</v>
      </c>
      <c r="M177" s="54">
        <f>(I177-K177)/J177</f>
        <v>5591.9059999999999</v>
      </c>
      <c r="N177" s="54">
        <f>I177-L177</f>
        <v>22367.624</v>
      </c>
      <c r="O177" s="38"/>
      <c r="P177" s="44">
        <v>1</v>
      </c>
    </row>
    <row r="178" spans="1:16" ht="30" x14ac:dyDescent="0.25">
      <c r="A178" s="34">
        <v>424</v>
      </c>
      <c r="B178" s="41" t="s">
        <v>562</v>
      </c>
      <c r="C178" s="38">
        <v>1</v>
      </c>
      <c r="D178" s="41" t="s">
        <v>11</v>
      </c>
      <c r="E178" s="38" t="s">
        <v>536</v>
      </c>
      <c r="F178" s="38"/>
      <c r="G178" s="38"/>
      <c r="H178" s="42">
        <v>45810</v>
      </c>
      <c r="I178" s="43">
        <v>48500</v>
      </c>
      <c r="J178" s="38">
        <v>5</v>
      </c>
      <c r="K178" s="54">
        <v>0</v>
      </c>
      <c r="L178" s="54">
        <f>M178*P178</f>
        <v>9700</v>
      </c>
      <c r="M178" s="54">
        <f>(I178-K178)/J178</f>
        <v>9700</v>
      </c>
      <c r="N178" s="54">
        <f>I178-L178</f>
        <v>38800</v>
      </c>
      <c r="O178" s="38"/>
      <c r="P178" s="44">
        <v>1</v>
      </c>
    </row>
    <row r="179" spans="1:16" x14ac:dyDescent="0.25">
      <c r="A179" s="34">
        <v>425</v>
      </c>
      <c r="B179" s="38" t="s">
        <v>543</v>
      </c>
      <c r="C179" s="38">
        <v>1</v>
      </c>
      <c r="D179" s="41" t="s">
        <v>8</v>
      </c>
      <c r="E179" s="38" t="s">
        <v>92</v>
      </c>
      <c r="F179" s="38"/>
      <c r="G179" s="38"/>
      <c r="H179" s="42">
        <v>45812</v>
      </c>
      <c r="I179" s="43">
        <v>1233.7</v>
      </c>
      <c r="J179" s="38">
        <v>3</v>
      </c>
      <c r="K179" s="54">
        <v>0</v>
      </c>
      <c r="L179" s="54">
        <f>M179*P179</f>
        <v>411.23333333333335</v>
      </c>
      <c r="M179" s="54">
        <f>(I179-K179)/J179</f>
        <v>411.23333333333335</v>
      </c>
      <c r="N179" s="54">
        <f>I179-L179</f>
        <v>822.4666666666667</v>
      </c>
      <c r="O179" s="38"/>
      <c r="P179" s="44">
        <v>1</v>
      </c>
    </row>
    <row r="180" spans="1:16" x14ac:dyDescent="0.25">
      <c r="A180" s="34">
        <v>426</v>
      </c>
      <c r="B180" s="38" t="s">
        <v>554</v>
      </c>
      <c r="C180" s="38">
        <v>1</v>
      </c>
      <c r="D180" s="41" t="s">
        <v>8</v>
      </c>
      <c r="E180" s="38" t="s">
        <v>555</v>
      </c>
      <c r="F180" s="38"/>
      <c r="G180" s="38">
        <v>19225073</v>
      </c>
      <c r="H180" s="42">
        <v>45819</v>
      </c>
      <c r="I180" s="43">
        <v>1598</v>
      </c>
      <c r="J180" s="38">
        <v>3</v>
      </c>
      <c r="K180" s="54">
        <v>0</v>
      </c>
      <c r="L180" s="54">
        <f>M180*P180</f>
        <v>532.66666666666663</v>
      </c>
      <c r="M180" s="54">
        <f>(I180-K180)/J180</f>
        <v>532.66666666666663</v>
      </c>
      <c r="N180" s="54">
        <f>I180-L180</f>
        <v>1065.3333333333335</v>
      </c>
      <c r="O180" s="38"/>
      <c r="P180" s="44">
        <v>1</v>
      </c>
    </row>
    <row r="181" spans="1:16" ht="30" x14ac:dyDescent="0.25">
      <c r="A181" s="34">
        <v>427</v>
      </c>
      <c r="B181" s="41" t="s">
        <v>558</v>
      </c>
      <c r="C181" s="38">
        <v>1</v>
      </c>
      <c r="D181" s="38" t="s">
        <v>8</v>
      </c>
      <c r="E181" s="38" t="s">
        <v>559</v>
      </c>
      <c r="F181" s="38"/>
      <c r="G181" s="38"/>
      <c r="H181" s="42">
        <v>45824</v>
      </c>
      <c r="I181" s="43">
        <v>6929</v>
      </c>
      <c r="J181" s="38">
        <v>3</v>
      </c>
      <c r="K181" s="54">
        <v>0</v>
      </c>
      <c r="L181" s="54">
        <f>M181*P181</f>
        <v>2309.6666666666665</v>
      </c>
      <c r="M181" s="54">
        <f>(I181-K181)/J181</f>
        <v>2309.6666666666665</v>
      </c>
      <c r="N181" s="54">
        <f>I181-L181</f>
        <v>4619.3333333333339</v>
      </c>
      <c r="O181" s="38"/>
      <c r="P181" s="44">
        <v>1</v>
      </c>
    </row>
    <row r="182" spans="1:16" x14ac:dyDescent="0.25">
      <c r="A182" s="34">
        <v>428</v>
      </c>
      <c r="B182" s="38" t="s">
        <v>556</v>
      </c>
      <c r="C182" s="38">
        <v>1</v>
      </c>
      <c r="D182" s="41" t="s">
        <v>11</v>
      </c>
      <c r="E182" s="38" t="s">
        <v>557</v>
      </c>
      <c r="F182" s="38"/>
      <c r="G182" s="38"/>
      <c r="H182" s="42">
        <v>45826</v>
      </c>
      <c r="I182" s="43">
        <v>1271.82</v>
      </c>
      <c r="J182" s="38">
        <v>3</v>
      </c>
      <c r="K182" s="54">
        <v>0</v>
      </c>
      <c r="L182" s="54">
        <f>M182*P182</f>
        <v>423.94</v>
      </c>
      <c r="M182" s="54">
        <f>(I182-K182)/J182</f>
        <v>423.94</v>
      </c>
      <c r="N182" s="54">
        <f>I182-L182</f>
        <v>847.87999999999988</v>
      </c>
      <c r="O182" s="38"/>
      <c r="P182" s="44">
        <v>1</v>
      </c>
    </row>
    <row r="183" spans="1:16" x14ac:dyDescent="0.25">
      <c r="A183" s="34">
        <v>429</v>
      </c>
      <c r="B183" s="38" t="s">
        <v>571</v>
      </c>
      <c r="C183" s="38">
        <v>1</v>
      </c>
      <c r="D183" s="41" t="s">
        <v>12</v>
      </c>
      <c r="E183" s="38" t="s">
        <v>125</v>
      </c>
      <c r="F183" s="38"/>
      <c r="G183" s="38" t="s">
        <v>572</v>
      </c>
      <c r="H183" s="42">
        <v>45826</v>
      </c>
      <c r="I183" s="43">
        <v>10170</v>
      </c>
      <c r="J183" s="38">
        <v>5</v>
      </c>
      <c r="K183" s="54">
        <v>0</v>
      </c>
      <c r="L183" s="54">
        <f>M183*P183</f>
        <v>2034</v>
      </c>
      <c r="M183" s="54">
        <f>(I183-K183)/J183</f>
        <v>2034</v>
      </c>
      <c r="N183" s="54">
        <f>I183-L183</f>
        <v>8136</v>
      </c>
      <c r="O183" s="38"/>
      <c r="P183" s="44">
        <v>1</v>
      </c>
    </row>
    <row r="184" spans="1:16" x14ac:dyDescent="0.25">
      <c r="A184" s="34">
        <v>430</v>
      </c>
      <c r="B184" s="38" t="s">
        <v>570</v>
      </c>
      <c r="C184" s="38">
        <v>1</v>
      </c>
      <c r="D184" s="41" t="s">
        <v>12</v>
      </c>
      <c r="E184" s="38" t="s">
        <v>125</v>
      </c>
      <c r="F184" s="38"/>
      <c r="G184" s="38"/>
      <c r="H184" s="42">
        <v>45827</v>
      </c>
      <c r="I184" s="43">
        <v>8799</v>
      </c>
      <c r="J184" s="38">
        <v>5</v>
      </c>
      <c r="K184" s="54">
        <v>0</v>
      </c>
      <c r="L184" s="54">
        <f>M184*P184</f>
        <v>1759.8</v>
      </c>
      <c r="M184" s="54">
        <f>(I184-K184)/J184</f>
        <v>1759.8</v>
      </c>
      <c r="N184" s="54">
        <f>I184-L184</f>
        <v>7039.2</v>
      </c>
      <c r="O184" s="38"/>
      <c r="P184" s="44">
        <v>1</v>
      </c>
    </row>
    <row r="185" spans="1:16" x14ac:dyDescent="0.25">
      <c r="A185" s="34">
        <v>431</v>
      </c>
      <c r="B185" s="38" t="s">
        <v>566</v>
      </c>
      <c r="C185" s="38">
        <v>5</v>
      </c>
      <c r="D185" s="41" t="s">
        <v>567</v>
      </c>
      <c r="E185" s="38" t="s">
        <v>568</v>
      </c>
      <c r="F185" s="38"/>
      <c r="G185" s="38"/>
      <c r="H185" s="42">
        <v>45828</v>
      </c>
      <c r="I185" s="43">
        <v>4497.95</v>
      </c>
      <c r="J185" s="38">
        <v>5</v>
      </c>
      <c r="K185" s="54">
        <v>0</v>
      </c>
      <c r="L185" s="54">
        <f>M185*P185</f>
        <v>899.58999999999992</v>
      </c>
      <c r="M185" s="54">
        <f>(I185-K185)/J185</f>
        <v>899.58999999999992</v>
      </c>
      <c r="N185" s="54">
        <f>I185-L185</f>
        <v>3598.3599999999997</v>
      </c>
      <c r="O185" s="38"/>
      <c r="P185" s="44">
        <v>1</v>
      </c>
    </row>
    <row r="186" spans="1:16" x14ac:dyDescent="0.25">
      <c r="A186" s="34">
        <v>432</v>
      </c>
      <c r="B186" s="38" t="s">
        <v>563</v>
      </c>
      <c r="C186" s="38">
        <v>1</v>
      </c>
      <c r="D186" s="41" t="s">
        <v>8</v>
      </c>
      <c r="E186" s="38" t="s">
        <v>92</v>
      </c>
      <c r="F186" s="38"/>
      <c r="G186" s="38"/>
      <c r="H186" s="42">
        <v>45832</v>
      </c>
      <c r="I186" s="43">
        <v>2354.5500000000002</v>
      </c>
      <c r="J186" s="38">
        <v>3</v>
      </c>
      <c r="K186" s="54">
        <v>0</v>
      </c>
      <c r="L186" s="54">
        <f>M186*P186</f>
        <v>784.85</v>
      </c>
      <c r="M186" s="54">
        <f>(I186-K186)/J186</f>
        <v>784.85</v>
      </c>
      <c r="N186" s="54">
        <f>I186-L186</f>
        <v>1569.7000000000003</v>
      </c>
      <c r="O186" s="38"/>
      <c r="P186" s="44">
        <v>1</v>
      </c>
    </row>
    <row r="187" spans="1:16" x14ac:dyDescent="0.25">
      <c r="A187" s="34">
        <v>433</v>
      </c>
      <c r="B187" s="38" t="s">
        <v>36</v>
      </c>
      <c r="C187" s="38">
        <v>200</v>
      </c>
      <c r="D187" s="41" t="s">
        <v>11</v>
      </c>
      <c r="E187" s="38" t="s">
        <v>35</v>
      </c>
      <c r="F187" s="38"/>
      <c r="G187" s="38"/>
      <c r="H187" s="42">
        <v>45838</v>
      </c>
      <c r="I187" s="43">
        <v>69750</v>
      </c>
      <c r="J187" s="38">
        <v>7</v>
      </c>
      <c r="K187" s="54">
        <v>0</v>
      </c>
      <c r="L187" s="54">
        <f>M187*P187</f>
        <v>9964.2857142857138</v>
      </c>
      <c r="M187" s="54">
        <f>(I187-K187)/J187</f>
        <v>9964.2857142857138</v>
      </c>
      <c r="N187" s="54">
        <f>I187-L187</f>
        <v>59785.71428571429</v>
      </c>
      <c r="O187" s="38"/>
      <c r="P187" s="44">
        <v>1</v>
      </c>
    </row>
    <row r="188" spans="1:16" ht="45" x14ac:dyDescent="0.25">
      <c r="A188" s="34">
        <v>434</v>
      </c>
      <c r="B188" s="41" t="s">
        <v>569</v>
      </c>
      <c r="C188" s="38">
        <v>1</v>
      </c>
      <c r="D188" s="41" t="s">
        <v>12</v>
      </c>
      <c r="E188" s="38" t="s">
        <v>125</v>
      </c>
      <c r="F188" s="38"/>
      <c r="G188" s="38"/>
      <c r="H188" s="42">
        <v>45845</v>
      </c>
      <c r="I188" s="43">
        <v>32984</v>
      </c>
      <c r="J188" s="38">
        <v>5</v>
      </c>
      <c r="K188" s="54">
        <v>0</v>
      </c>
      <c r="L188" s="54">
        <f>M188*P188</f>
        <v>6596.8</v>
      </c>
      <c r="M188" s="54">
        <f>(I188-K188)/J188</f>
        <v>6596.8</v>
      </c>
      <c r="N188" s="54">
        <f>I188-L188</f>
        <v>26387.200000000001</v>
      </c>
      <c r="O188" s="38"/>
      <c r="P188" s="44">
        <v>1</v>
      </c>
    </row>
    <row r="189" spans="1:16" ht="30" x14ac:dyDescent="0.25">
      <c r="A189" s="34">
        <v>435</v>
      </c>
      <c r="B189" s="41" t="s">
        <v>573</v>
      </c>
      <c r="C189" s="38">
        <v>1</v>
      </c>
      <c r="D189" s="41" t="s">
        <v>8</v>
      </c>
      <c r="E189" s="38" t="s">
        <v>92</v>
      </c>
      <c r="F189" s="38"/>
      <c r="G189" s="38"/>
      <c r="H189" s="90">
        <v>45852</v>
      </c>
      <c r="I189" s="43">
        <v>2338.1799999999998</v>
      </c>
      <c r="J189" s="38">
        <v>3</v>
      </c>
      <c r="K189" s="54">
        <v>0</v>
      </c>
      <c r="L189" s="54">
        <f>M189*P189</f>
        <v>779.39333333333332</v>
      </c>
      <c r="M189" s="54">
        <f>(I189-K189)/J189</f>
        <v>779.39333333333332</v>
      </c>
      <c r="N189" s="54">
        <f>I189-L189</f>
        <v>1558.7866666666664</v>
      </c>
      <c r="O189" s="38"/>
      <c r="P189" s="44">
        <v>1</v>
      </c>
    </row>
    <row r="190" spans="1:16" x14ac:dyDescent="0.25">
      <c r="A190" s="34">
        <v>436</v>
      </c>
      <c r="B190" s="38" t="s">
        <v>575</v>
      </c>
      <c r="C190" s="38">
        <v>1</v>
      </c>
      <c r="D190" s="41" t="s">
        <v>8</v>
      </c>
      <c r="E190" s="38" t="s">
        <v>559</v>
      </c>
      <c r="F190" s="38"/>
      <c r="G190" s="38"/>
      <c r="H190" s="42">
        <v>45867</v>
      </c>
      <c r="I190" s="43">
        <v>3921</v>
      </c>
      <c r="J190" s="38">
        <v>3</v>
      </c>
      <c r="K190" s="54">
        <v>0</v>
      </c>
      <c r="L190" s="54">
        <f>M190*P190</f>
        <v>1307</v>
      </c>
      <c r="M190" s="54">
        <f>(I190-K190)/J190</f>
        <v>1307</v>
      </c>
      <c r="N190" s="54">
        <f>I190-L190</f>
        <v>2614</v>
      </c>
      <c r="O190" s="38"/>
      <c r="P190" s="44">
        <v>1</v>
      </c>
    </row>
    <row r="191" spans="1:16" x14ac:dyDescent="0.25">
      <c r="A191" s="34">
        <v>437</v>
      </c>
      <c r="B191" s="38" t="s">
        <v>574</v>
      </c>
      <c r="C191" s="38">
        <v>1</v>
      </c>
      <c r="D191" s="41" t="s">
        <v>8</v>
      </c>
      <c r="E191" s="38" t="s">
        <v>559</v>
      </c>
      <c r="F191" s="38"/>
      <c r="G191" s="38"/>
      <c r="H191" s="42">
        <v>45868</v>
      </c>
      <c r="I191" s="43">
        <v>1442.87</v>
      </c>
      <c r="J191" s="38">
        <v>3</v>
      </c>
      <c r="K191" s="54">
        <v>0</v>
      </c>
      <c r="L191" s="54">
        <f>M191*P191</f>
        <v>480.95666666666665</v>
      </c>
      <c r="M191" s="54">
        <f>(I191-K191)/J191</f>
        <v>480.95666666666665</v>
      </c>
      <c r="N191" s="54">
        <f>I191-L191</f>
        <v>961.91333333333318</v>
      </c>
      <c r="O191" s="38"/>
      <c r="P191" s="44">
        <v>1</v>
      </c>
    </row>
    <row r="192" spans="1:16" x14ac:dyDescent="0.25">
      <c r="A192" s="58"/>
      <c r="B192" s="59"/>
      <c r="C192" s="59">
        <f>SUM(C7:C191)</f>
        <v>3571</v>
      </c>
      <c r="D192" s="60"/>
      <c r="E192" s="59"/>
      <c r="F192" s="59"/>
      <c r="G192" s="59"/>
      <c r="H192" s="61"/>
      <c r="I192" s="68">
        <f>SUM(I7:I191)</f>
        <v>3844963.4800000014</v>
      </c>
      <c r="J192" s="63"/>
      <c r="K192" s="63"/>
      <c r="L192" s="62">
        <f>SUM(L7:L191)</f>
        <v>640243.34911904729</v>
      </c>
      <c r="M192" s="62">
        <f>SUM(M7:M191)</f>
        <v>617203.34911904717</v>
      </c>
      <c r="N192" s="62">
        <f>SUM(N7:N191)</f>
        <v>3204720.1308809542</v>
      </c>
      <c r="O192" s="64"/>
      <c r="P192" s="65">
        <v>0</v>
      </c>
    </row>
    <row r="193" spans="12:15" ht="15.75" x14ac:dyDescent="0.25">
      <c r="L193" s="53"/>
      <c r="M193" s="53"/>
      <c r="N193" s="67"/>
      <c r="O193" s="80"/>
    </row>
  </sheetData>
  <autoFilter ref="B6:P193" xr:uid="{587B8612-A0C0-473F-897C-841FE1AFAACB}">
    <sortState xmlns:xlrd2="http://schemas.microsoft.com/office/spreadsheetml/2017/richdata2" ref="B7:P193">
      <sortCondition ref="H6:H193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4780-922A-4F76-B66B-316DAA43A55D}">
  <dimension ref="A3:C10"/>
  <sheetViews>
    <sheetView workbookViewId="0">
      <selection activeCell="C29" sqref="C29"/>
    </sheetView>
  </sheetViews>
  <sheetFormatPr defaultRowHeight="15" x14ac:dyDescent="0.25"/>
  <cols>
    <col min="1" max="1" width="30.140625" bestFit="1" customWidth="1"/>
    <col min="2" max="2" width="21.7109375" bestFit="1" customWidth="1"/>
    <col min="3" max="3" width="17.28515625" bestFit="1" customWidth="1"/>
  </cols>
  <sheetData>
    <row r="3" spans="1:3" x14ac:dyDescent="0.25">
      <c r="A3" s="20" t="s">
        <v>2</v>
      </c>
      <c r="B3" t="s">
        <v>3</v>
      </c>
      <c r="C3" t="s">
        <v>6</v>
      </c>
    </row>
    <row r="4" spans="1:3" x14ac:dyDescent="0.25">
      <c r="A4" s="21" t="s">
        <v>7</v>
      </c>
      <c r="B4" s="22">
        <v>68013</v>
      </c>
      <c r="C4" s="22">
        <v>57130.92</v>
      </c>
    </row>
    <row r="5" spans="1:3" x14ac:dyDescent="0.25">
      <c r="A5" s="21" t="s">
        <v>8</v>
      </c>
      <c r="B5" s="22">
        <v>7845.43</v>
      </c>
      <c r="C5" s="22">
        <v>5884.0725000000002</v>
      </c>
    </row>
    <row r="6" spans="1:3" x14ac:dyDescent="0.25">
      <c r="A6" s="21" t="s">
        <v>9</v>
      </c>
      <c r="B6" s="22">
        <v>89403.459999999992</v>
      </c>
      <c r="C6" s="22">
        <v>73971.838066666664</v>
      </c>
    </row>
    <row r="7" spans="1:3" x14ac:dyDescent="0.25">
      <c r="A7" s="21" t="s">
        <v>10</v>
      </c>
      <c r="B7" s="22">
        <v>412602.70000000007</v>
      </c>
      <c r="C7" s="22">
        <v>354946.61058571428</v>
      </c>
    </row>
    <row r="8" spans="1:3" x14ac:dyDescent="0.25">
      <c r="A8" s="21" t="s">
        <v>11</v>
      </c>
      <c r="B8" s="22">
        <v>154761.22999999998</v>
      </c>
      <c r="C8" s="22">
        <v>117381.64399999999</v>
      </c>
    </row>
    <row r="9" spans="1:3" x14ac:dyDescent="0.25">
      <c r="A9" s="21" t="s">
        <v>12</v>
      </c>
      <c r="B9" s="22">
        <v>101388.22</v>
      </c>
      <c r="C9" s="22">
        <v>92263.280200000008</v>
      </c>
    </row>
    <row r="10" spans="1:3" x14ac:dyDescent="0.25">
      <c r="A10" s="21" t="s">
        <v>13</v>
      </c>
      <c r="B10" s="22">
        <v>834014.04</v>
      </c>
      <c r="C10" s="22">
        <v>701578.36535238102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F85C-F793-4ED0-ADB1-31E23F7E6C7A}">
  <dimension ref="A1:O122"/>
  <sheetViews>
    <sheetView topLeftCell="C1" zoomScale="90" zoomScaleNormal="90" workbookViewId="0">
      <pane ySplit="6" topLeftCell="A66" activePane="bottomLeft" state="frozen"/>
      <selection pane="bottomLeft" activeCell="B107" sqref="B107"/>
    </sheetView>
  </sheetViews>
  <sheetFormatPr defaultRowHeight="15" x14ac:dyDescent="0.25"/>
  <cols>
    <col min="1" max="1" width="6.7109375" customWidth="1"/>
    <col min="2" max="2" width="52.140625" customWidth="1"/>
    <col min="3" max="3" width="13.42578125" customWidth="1"/>
    <col min="4" max="4" width="21.7109375" style="13" customWidth="1"/>
    <col min="5" max="5" width="18.85546875" customWidth="1"/>
    <col min="6" max="6" width="14.42578125" customWidth="1"/>
    <col min="7" max="7" width="29.85546875" customWidth="1"/>
    <col min="8" max="8" width="15.7109375" style="7" bestFit="1" customWidth="1"/>
    <col min="9" max="9" width="15.42578125" bestFit="1" customWidth="1"/>
    <col min="10" max="10" width="17.28515625" bestFit="1" customWidth="1"/>
    <col min="11" max="11" width="13.42578125" bestFit="1" customWidth="1"/>
    <col min="12" max="12" width="18.28515625" customWidth="1"/>
    <col min="13" max="13" width="23.85546875" customWidth="1"/>
    <col min="14" max="14" width="24.42578125" customWidth="1"/>
    <col min="15" max="15" width="23.140625" style="14" bestFit="1" customWidth="1"/>
  </cols>
  <sheetData>
    <row r="1" spans="1:15" x14ac:dyDescent="0.25">
      <c r="D1"/>
      <c r="H1"/>
      <c r="O1"/>
    </row>
    <row r="2" spans="1:15" ht="21" x14ac:dyDescent="0.35">
      <c r="B2" s="23" t="s">
        <v>14</v>
      </c>
      <c r="D2"/>
      <c r="H2"/>
      <c r="O2"/>
    </row>
    <row r="3" spans="1:15" x14ac:dyDescent="0.25">
      <c r="B3" s="1"/>
      <c r="D3"/>
      <c r="H3"/>
      <c r="O3"/>
    </row>
    <row r="4" spans="1:15" x14ac:dyDescent="0.25">
      <c r="D4"/>
      <c r="H4"/>
      <c r="O4"/>
    </row>
    <row r="5" spans="1:15" ht="15.75" thickBot="1" x14ac:dyDescent="0.3">
      <c r="D5"/>
      <c r="H5"/>
      <c r="O5"/>
    </row>
    <row r="6" spans="1:15" ht="16.5" thickTop="1" thickBot="1" x14ac:dyDescent="0.3">
      <c r="A6" s="29" t="s">
        <v>15</v>
      </c>
      <c r="B6" s="29" t="s">
        <v>16</v>
      </c>
      <c r="C6" s="29" t="s">
        <v>17</v>
      </c>
      <c r="D6" s="29" t="s">
        <v>18</v>
      </c>
      <c r="E6" s="29" t="s">
        <v>19</v>
      </c>
      <c r="F6" s="29" t="s">
        <v>20</v>
      </c>
      <c r="G6" s="29" t="s">
        <v>21</v>
      </c>
      <c r="H6" s="29" t="s">
        <v>0</v>
      </c>
      <c r="I6" s="29" t="s">
        <v>22</v>
      </c>
      <c r="J6" s="29" t="s">
        <v>23</v>
      </c>
      <c r="K6" s="29" t="s">
        <v>24</v>
      </c>
      <c r="L6" s="29" t="s">
        <v>25</v>
      </c>
      <c r="M6" s="29" t="s">
        <v>581</v>
      </c>
      <c r="N6" s="29" t="s">
        <v>27</v>
      </c>
      <c r="O6" s="29" t="s">
        <v>28</v>
      </c>
    </row>
    <row r="7" spans="1:15" ht="45.75" thickTop="1" x14ac:dyDescent="0.25">
      <c r="A7" s="3">
        <v>1</v>
      </c>
      <c r="B7" s="3" t="s">
        <v>30</v>
      </c>
      <c r="C7" s="3">
        <v>6</v>
      </c>
      <c r="D7" s="3" t="s">
        <v>11</v>
      </c>
      <c r="E7" s="4" t="s">
        <v>31</v>
      </c>
      <c r="F7" s="3"/>
      <c r="G7" s="4" t="s">
        <v>32</v>
      </c>
      <c r="H7" s="5">
        <v>44735</v>
      </c>
      <c r="I7" s="10">
        <v>3514.8</v>
      </c>
      <c r="J7" s="3">
        <v>5</v>
      </c>
      <c r="K7" s="27">
        <v>0</v>
      </c>
      <c r="L7" s="2" t="s">
        <v>582</v>
      </c>
      <c r="M7" s="27">
        <f>(I7-K7)/J7</f>
        <v>702.96</v>
      </c>
      <c r="N7" s="27">
        <f>I7-M7</f>
        <v>2811.84</v>
      </c>
      <c r="O7" s="8" t="s">
        <v>583</v>
      </c>
    </row>
    <row r="8" spans="1:15" ht="30" x14ac:dyDescent="0.25">
      <c r="A8" s="3">
        <v>2</v>
      </c>
      <c r="B8" s="2" t="s">
        <v>34</v>
      </c>
      <c r="C8" s="2">
        <v>50</v>
      </c>
      <c r="D8" s="12" t="s">
        <v>10</v>
      </c>
      <c r="E8" s="12" t="s">
        <v>35</v>
      </c>
      <c r="F8" s="2"/>
      <c r="G8" s="2"/>
      <c r="H8" s="6">
        <v>44480</v>
      </c>
      <c r="I8" s="11">
        <v>12750</v>
      </c>
      <c r="J8" s="2">
        <v>7</v>
      </c>
      <c r="K8" s="27">
        <f>I8*0.1</f>
        <v>1275</v>
      </c>
      <c r="L8" s="2" t="s">
        <v>582</v>
      </c>
      <c r="M8" s="27">
        <f>(I8-K8)/J8</f>
        <v>1639.2857142857142</v>
      </c>
      <c r="N8" s="27">
        <f t="shared" ref="N8:N66" si="0">I8-M8</f>
        <v>11110.714285714286</v>
      </c>
      <c r="O8" s="9" t="s">
        <v>584</v>
      </c>
    </row>
    <row r="9" spans="1:15" ht="30" x14ac:dyDescent="0.25">
      <c r="A9" s="3">
        <v>3</v>
      </c>
      <c r="B9" s="2" t="s">
        <v>36</v>
      </c>
      <c r="C9" s="2">
        <v>40</v>
      </c>
      <c r="D9" s="12" t="s">
        <v>10</v>
      </c>
      <c r="E9" s="12" t="s">
        <v>35</v>
      </c>
      <c r="F9" s="2"/>
      <c r="G9" s="2"/>
      <c r="H9" s="6">
        <v>44480</v>
      </c>
      <c r="I9" s="11">
        <v>18081.2</v>
      </c>
      <c r="J9" s="2">
        <v>7</v>
      </c>
      <c r="K9" s="27">
        <f t="shared" ref="K9:K18" si="1">I9*0.1</f>
        <v>1808.1200000000001</v>
      </c>
      <c r="L9" s="2" t="s">
        <v>582</v>
      </c>
      <c r="M9" s="27">
        <f>(I9-K9)/J9</f>
        <v>2324.7257142857143</v>
      </c>
      <c r="N9" s="27">
        <f t="shared" si="0"/>
        <v>15756.474285714286</v>
      </c>
      <c r="O9" s="9" t="s">
        <v>585</v>
      </c>
    </row>
    <row r="10" spans="1:15" ht="30" x14ac:dyDescent="0.25">
      <c r="A10" s="3">
        <v>4</v>
      </c>
      <c r="B10" s="2" t="s">
        <v>37</v>
      </c>
      <c r="C10" s="2">
        <v>16</v>
      </c>
      <c r="D10" s="12" t="s">
        <v>10</v>
      </c>
      <c r="E10" s="12" t="s">
        <v>35</v>
      </c>
      <c r="F10" s="2"/>
      <c r="G10" s="2"/>
      <c r="H10" s="6">
        <v>44480</v>
      </c>
      <c r="I10" s="11">
        <v>9394.7199999999993</v>
      </c>
      <c r="J10" s="2">
        <v>4</v>
      </c>
      <c r="K10" s="27">
        <f t="shared" si="1"/>
        <v>939.47199999999998</v>
      </c>
      <c r="L10" s="2" t="s">
        <v>582</v>
      </c>
      <c r="M10" s="27">
        <f t="shared" ref="M10:M73" si="2">(I10-K10)/J10</f>
        <v>2113.8119999999999</v>
      </c>
      <c r="N10" s="27">
        <f t="shared" si="0"/>
        <v>7280.9079999999994</v>
      </c>
      <c r="O10" s="9" t="s">
        <v>586</v>
      </c>
    </row>
    <row r="11" spans="1:15" ht="30" x14ac:dyDescent="0.25">
      <c r="A11" s="3">
        <v>5</v>
      </c>
      <c r="B11" s="2" t="s">
        <v>38</v>
      </c>
      <c r="C11" s="2">
        <v>16</v>
      </c>
      <c r="D11" s="12" t="s">
        <v>10</v>
      </c>
      <c r="E11" s="12" t="s">
        <v>35</v>
      </c>
      <c r="F11" s="2"/>
      <c r="G11" s="2"/>
      <c r="H11" s="6">
        <v>44480</v>
      </c>
      <c r="I11" s="11">
        <v>12464.64</v>
      </c>
      <c r="J11" s="2">
        <v>4</v>
      </c>
      <c r="K11" s="27">
        <f t="shared" si="1"/>
        <v>1246.4639999999999</v>
      </c>
      <c r="L11" s="2" t="s">
        <v>582</v>
      </c>
      <c r="M11" s="27">
        <f t="shared" si="2"/>
        <v>2804.5439999999999</v>
      </c>
      <c r="N11" s="27">
        <f t="shared" si="0"/>
        <v>9660.0959999999995</v>
      </c>
      <c r="O11" s="9" t="s">
        <v>587</v>
      </c>
    </row>
    <row r="12" spans="1:15" ht="30" x14ac:dyDescent="0.25">
      <c r="A12" s="3">
        <v>6</v>
      </c>
      <c r="B12" s="2" t="s">
        <v>39</v>
      </c>
      <c r="C12" s="2">
        <v>16</v>
      </c>
      <c r="D12" s="12" t="s">
        <v>10</v>
      </c>
      <c r="E12" s="12" t="s">
        <v>35</v>
      </c>
      <c r="F12" s="2"/>
      <c r="G12" s="2"/>
      <c r="H12" s="6">
        <v>44480</v>
      </c>
      <c r="I12" s="11">
        <v>14410.08</v>
      </c>
      <c r="J12" s="2">
        <v>4</v>
      </c>
      <c r="K12" s="27">
        <f t="shared" si="1"/>
        <v>1441.008</v>
      </c>
      <c r="L12" s="2" t="s">
        <v>582</v>
      </c>
      <c r="M12" s="27">
        <f t="shared" si="2"/>
        <v>3242.268</v>
      </c>
      <c r="N12" s="27">
        <f t="shared" si="0"/>
        <v>11167.812</v>
      </c>
      <c r="O12" s="9" t="s">
        <v>588</v>
      </c>
    </row>
    <row r="13" spans="1:15" ht="30" x14ac:dyDescent="0.25">
      <c r="A13" s="3">
        <v>7</v>
      </c>
      <c r="B13" s="2" t="s">
        <v>40</v>
      </c>
      <c r="C13" s="2">
        <v>4</v>
      </c>
      <c r="D13" s="12" t="s">
        <v>10</v>
      </c>
      <c r="E13" s="12" t="s">
        <v>35</v>
      </c>
      <c r="F13" s="2"/>
      <c r="G13" s="2"/>
      <c r="H13" s="6">
        <v>44480</v>
      </c>
      <c r="I13" s="11">
        <v>4100.28</v>
      </c>
      <c r="J13" s="2">
        <v>4</v>
      </c>
      <c r="K13" s="27">
        <f t="shared" si="1"/>
        <v>410.02800000000002</v>
      </c>
      <c r="L13" s="2" t="s">
        <v>582</v>
      </c>
      <c r="M13" s="27">
        <f t="shared" si="2"/>
        <v>922.56299999999987</v>
      </c>
      <c r="N13" s="27">
        <f t="shared" si="0"/>
        <v>3177.7169999999996</v>
      </c>
      <c r="O13" s="9" t="s">
        <v>589</v>
      </c>
    </row>
    <row r="14" spans="1:15" ht="30" x14ac:dyDescent="0.25">
      <c r="A14" s="3">
        <v>8</v>
      </c>
      <c r="B14" s="2" t="s">
        <v>41</v>
      </c>
      <c r="C14" s="2">
        <v>4</v>
      </c>
      <c r="D14" s="12" t="s">
        <v>10</v>
      </c>
      <c r="E14" s="12" t="s">
        <v>35</v>
      </c>
      <c r="F14" s="2"/>
      <c r="G14" s="2"/>
      <c r="H14" s="6">
        <v>44480</v>
      </c>
      <c r="I14" s="11">
        <v>6303.24</v>
      </c>
      <c r="J14" s="2">
        <v>4</v>
      </c>
      <c r="K14" s="27">
        <f t="shared" si="1"/>
        <v>630.32400000000007</v>
      </c>
      <c r="L14" s="2" t="s">
        <v>582</v>
      </c>
      <c r="M14" s="27">
        <f t="shared" si="2"/>
        <v>1418.2289999999998</v>
      </c>
      <c r="N14" s="27">
        <f t="shared" si="0"/>
        <v>4885.0110000000004</v>
      </c>
      <c r="O14" s="9" t="s">
        <v>53</v>
      </c>
    </row>
    <row r="15" spans="1:15" ht="30" x14ac:dyDescent="0.25">
      <c r="A15" s="3">
        <v>9</v>
      </c>
      <c r="B15" s="2" t="s">
        <v>36</v>
      </c>
      <c r="C15" s="2">
        <v>10</v>
      </c>
      <c r="D15" s="12" t="s">
        <v>10</v>
      </c>
      <c r="E15" s="12" t="s">
        <v>35</v>
      </c>
      <c r="F15" s="2"/>
      <c r="G15" s="2"/>
      <c r="H15" s="6">
        <v>44482</v>
      </c>
      <c r="I15" s="11">
        <v>4520.3</v>
      </c>
      <c r="J15" s="2">
        <v>7</v>
      </c>
      <c r="K15" s="27">
        <f t="shared" si="1"/>
        <v>452.03000000000003</v>
      </c>
      <c r="L15" s="2" t="s">
        <v>582</v>
      </c>
      <c r="M15" s="27">
        <f t="shared" si="2"/>
        <v>581.18142857142857</v>
      </c>
      <c r="N15" s="27">
        <f t="shared" si="0"/>
        <v>3939.1185714285716</v>
      </c>
      <c r="O15" s="9" t="s">
        <v>585</v>
      </c>
    </row>
    <row r="16" spans="1:15" ht="30" x14ac:dyDescent="0.25">
      <c r="A16" s="3">
        <v>10</v>
      </c>
      <c r="B16" s="2" t="s">
        <v>36</v>
      </c>
      <c r="C16" s="2">
        <v>40</v>
      </c>
      <c r="D16" s="12" t="s">
        <v>10</v>
      </c>
      <c r="E16" s="12" t="s">
        <v>35</v>
      </c>
      <c r="F16" s="2"/>
      <c r="G16" s="2"/>
      <c r="H16" s="6">
        <v>44494</v>
      </c>
      <c r="I16" s="11">
        <v>18081.2</v>
      </c>
      <c r="J16" s="2">
        <v>7</v>
      </c>
      <c r="K16" s="27">
        <f t="shared" si="1"/>
        <v>1808.1200000000001</v>
      </c>
      <c r="L16" s="2" t="s">
        <v>582</v>
      </c>
      <c r="M16" s="27">
        <f t="shared" si="2"/>
        <v>2324.7257142857143</v>
      </c>
      <c r="N16" s="27">
        <f t="shared" si="0"/>
        <v>15756.474285714286</v>
      </c>
      <c r="O16" s="9" t="s">
        <v>585</v>
      </c>
    </row>
    <row r="17" spans="1:15" ht="30" x14ac:dyDescent="0.25">
      <c r="A17" s="3">
        <v>11</v>
      </c>
      <c r="B17" s="2" t="s">
        <v>34</v>
      </c>
      <c r="C17" s="2">
        <v>33</v>
      </c>
      <c r="D17" s="12" t="s">
        <v>10</v>
      </c>
      <c r="E17" s="12" t="s">
        <v>35</v>
      </c>
      <c r="F17" s="2"/>
      <c r="G17" s="2"/>
      <c r="H17" s="6">
        <v>44494</v>
      </c>
      <c r="I17" s="11">
        <v>8415</v>
      </c>
      <c r="J17" s="2">
        <v>7</v>
      </c>
      <c r="K17" s="27">
        <f t="shared" si="1"/>
        <v>841.5</v>
      </c>
      <c r="L17" s="2" t="s">
        <v>582</v>
      </c>
      <c r="M17" s="27">
        <f t="shared" si="2"/>
        <v>1081.9285714285713</v>
      </c>
      <c r="N17" s="27">
        <f t="shared" si="0"/>
        <v>7333.0714285714284</v>
      </c>
      <c r="O17" s="9" t="s">
        <v>584</v>
      </c>
    </row>
    <row r="18" spans="1:15" ht="30" x14ac:dyDescent="0.25">
      <c r="A18" s="3">
        <v>12</v>
      </c>
      <c r="B18" s="2" t="s">
        <v>36</v>
      </c>
      <c r="C18" s="2">
        <v>10</v>
      </c>
      <c r="D18" s="12" t="s">
        <v>10</v>
      </c>
      <c r="E18" s="12" t="s">
        <v>35</v>
      </c>
      <c r="F18" s="2"/>
      <c r="G18" s="2"/>
      <c r="H18" s="6">
        <v>44494</v>
      </c>
      <c r="I18" s="11">
        <v>4520.3</v>
      </c>
      <c r="J18" s="2">
        <v>7</v>
      </c>
      <c r="K18" s="27">
        <f t="shared" si="1"/>
        <v>452.03000000000003</v>
      </c>
      <c r="L18" s="2" t="s">
        <v>582</v>
      </c>
      <c r="M18" s="27">
        <f t="shared" si="2"/>
        <v>581.18142857142857</v>
      </c>
      <c r="N18" s="27">
        <f t="shared" si="0"/>
        <v>3939.1185714285716</v>
      </c>
      <c r="O18" s="9" t="s">
        <v>585</v>
      </c>
    </row>
    <row r="19" spans="1:15" x14ac:dyDescent="0.25">
      <c r="A19" s="3">
        <v>13</v>
      </c>
      <c r="B19" s="2" t="s">
        <v>42</v>
      </c>
      <c r="C19" s="2">
        <v>1</v>
      </c>
      <c r="D19" s="12" t="s">
        <v>11</v>
      </c>
      <c r="E19" s="12" t="s">
        <v>35</v>
      </c>
      <c r="F19" s="2"/>
      <c r="G19" s="2"/>
      <c r="H19" s="6">
        <v>44501</v>
      </c>
      <c r="I19" s="11">
        <v>10312.5</v>
      </c>
      <c r="J19" s="2">
        <v>3</v>
      </c>
      <c r="K19" s="27">
        <v>0</v>
      </c>
      <c r="L19" s="2" t="s">
        <v>582</v>
      </c>
      <c r="M19" s="27">
        <f t="shared" si="2"/>
        <v>3437.5</v>
      </c>
      <c r="N19" s="27">
        <f t="shared" si="0"/>
        <v>6875</v>
      </c>
      <c r="O19" s="9"/>
    </row>
    <row r="20" spans="1:15" x14ac:dyDescent="0.25">
      <c r="A20" s="3">
        <v>14</v>
      </c>
      <c r="B20" s="2" t="s">
        <v>43</v>
      </c>
      <c r="C20" s="2">
        <v>1</v>
      </c>
      <c r="D20" s="12" t="s">
        <v>9</v>
      </c>
      <c r="E20" s="12" t="s">
        <v>35</v>
      </c>
      <c r="F20" s="2"/>
      <c r="G20" s="2"/>
      <c r="H20" s="6">
        <v>44501</v>
      </c>
      <c r="I20" s="11">
        <v>7500</v>
      </c>
      <c r="J20" s="2">
        <v>10</v>
      </c>
      <c r="K20" s="27">
        <f>I20*0.1</f>
        <v>750</v>
      </c>
      <c r="L20" s="2" t="s">
        <v>582</v>
      </c>
      <c r="M20" s="27">
        <f t="shared" si="2"/>
        <v>675</v>
      </c>
      <c r="N20" s="27">
        <f t="shared" si="0"/>
        <v>6825</v>
      </c>
      <c r="O20" s="9"/>
    </row>
    <row r="21" spans="1:15" ht="30" x14ac:dyDescent="0.25">
      <c r="A21" s="3">
        <v>15</v>
      </c>
      <c r="B21" s="2" t="s">
        <v>36</v>
      </c>
      <c r="C21" s="2">
        <v>50</v>
      </c>
      <c r="D21" s="12" t="s">
        <v>10</v>
      </c>
      <c r="E21" s="12" t="s">
        <v>35</v>
      </c>
      <c r="F21" s="2"/>
      <c r="G21" s="2"/>
      <c r="H21" s="6">
        <v>44523</v>
      </c>
      <c r="I21" s="11">
        <v>22601.5</v>
      </c>
      <c r="J21" s="2">
        <v>7</v>
      </c>
      <c r="K21" s="27">
        <f t="shared" ref="K21:K22" si="3">I21*0.1</f>
        <v>2260.15</v>
      </c>
      <c r="L21" s="2" t="s">
        <v>582</v>
      </c>
      <c r="M21" s="27">
        <f t="shared" si="2"/>
        <v>2905.9071428571428</v>
      </c>
      <c r="N21" s="27">
        <f t="shared" si="0"/>
        <v>19695.592857142856</v>
      </c>
      <c r="O21" s="9" t="s">
        <v>585</v>
      </c>
    </row>
    <row r="22" spans="1:15" ht="30" x14ac:dyDescent="0.25">
      <c r="A22" s="3">
        <v>16</v>
      </c>
      <c r="B22" s="2" t="s">
        <v>36</v>
      </c>
      <c r="C22" s="2">
        <v>50</v>
      </c>
      <c r="D22" s="12" t="s">
        <v>10</v>
      </c>
      <c r="E22" s="12" t="s">
        <v>35</v>
      </c>
      <c r="F22" s="2"/>
      <c r="G22" s="2"/>
      <c r="H22" s="6">
        <v>44530</v>
      </c>
      <c r="I22" s="11">
        <v>22601.5</v>
      </c>
      <c r="J22" s="2">
        <v>7</v>
      </c>
      <c r="K22" s="27">
        <f t="shared" si="3"/>
        <v>2260.15</v>
      </c>
      <c r="L22" s="2" t="s">
        <v>582</v>
      </c>
      <c r="M22" s="27">
        <f t="shared" si="2"/>
        <v>2905.9071428571428</v>
      </c>
      <c r="N22" s="27">
        <f t="shared" si="0"/>
        <v>19695.592857142856</v>
      </c>
      <c r="O22" s="9" t="s">
        <v>585</v>
      </c>
    </row>
    <row r="23" spans="1:15" x14ac:dyDescent="0.25">
      <c r="A23" s="3">
        <v>17</v>
      </c>
      <c r="B23" s="2" t="s">
        <v>44</v>
      </c>
      <c r="C23" s="2">
        <v>1</v>
      </c>
      <c r="D23" s="12" t="s">
        <v>11</v>
      </c>
      <c r="E23" s="12" t="s">
        <v>35</v>
      </c>
      <c r="F23" s="2"/>
      <c r="G23" s="2"/>
      <c r="H23" s="6">
        <v>44550</v>
      </c>
      <c r="I23" s="11">
        <v>10312.5</v>
      </c>
      <c r="J23" s="2">
        <v>3</v>
      </c>
      <c r="K23" s="27">
        <v>0</v>
      </c>
      <c r="L23" s="2" t="s">
        <v>582</v>
      </c>
      <c r="M23" s="27">
        <f t="shared" si="2"/>
        <v>3437.5</v>
      </c>
      <c r="N23" s="27">
        <f t="shared" si="0"/>
        <v>6875</v>
      </c>
      <c r="O23" s="9"/>
    </row>
    <row r="24" spans="1:15" x14ac:dyDescent="0.25">
      <c r="A24" s="3">
        <v>18</v>
      </c>
      <c r="B24" s="2" t="s">
        <v>45</v>
      </c>
      <c r="C24" s="2">
        <v>1</v>
      </c>
      <c r="D24" s="12" t="s">
        <v>9</v>
      </c>
      <c r="E24" s="12" t="s">
        <v>35</v>
      </c>
      <c r="F24" s="2"/>
      <c r="G24" s="2"/>
      <c r="H24" s="6">
        <v>44621</v>
      </c>
      <c r="I24" s="11">
        <v>6251.18</v>
      </c>
      <c r="J24" s="2">
        <v>10</v>
      </c>
      <c r="K24" s="27">
        <f>I24*0.1</f>
        <v>625.11800000000005</v>
      </c>
      <c r="L24" s="2" t="s">
        <v>582</v>
      </c>
      <c r="M24" s="27">
        <f t="shared" si="2"/>
        <v>562.60619999999994</v>
      </c>
      <c r="N24" s="27">
        <f t="shared" si="0"/>
        <v>5688.5738000000001</v>
      </c>
      <c r="O24" s="9"/>
    </row>
    <row r="25" spans="1:15" ht="30" x14ac:dyDescent="0.25">
      <c r="A25" s="3">
        <v>19</v>
      </c>
      <c r="B25" s="2" t="s">
        <v>46</v>
      </c>
      <c r="C25" s="2">
        <v>10</v>
      </c>
      <c r="D25" s="12" t="s">
        <v>10</v>
      </c>
      <c r="E25" s="12" t="s">
        <v>35</v>
      </c>
      <c r="F25" s="2"/>
      <c r="G25" s="2"/>
      <c r="H25" s="6">
        <v>44650</v>
      </c>
      <c r="I25" s="11">
        <v>8180</v>
      </c>
      <c r="J25" s="2">
        <v>4</v>
      </c>
      <c r="K25" s="27">
        <f t="shared" ref="K25:K30" si="4">I25*0.1</f>
        <v>818</v>
      </c>
      <c r="L25" s="2" t="s">
        <v>582</v>
      </c>
      <c r="M25" s="27">
        <f t="shared" si="2"/>
        <v>1840.5</v>
      </c>
      <c r="N25" s="27">
        <f t="shared" si="0"/>
        <v>6339.5</v>
      </c>
      <c r="O25" s="9" t="s">
        <v>47</v>
      </c>
    </row>
    <row r="26" spans="1:15" ht="30" x14ac:dyDescent="0.25">
      <c r="A26" s="3">
        <v>20</v>
      </c>
      <c r="B26" s="2" t="s">
        <v>48</v>
      </c>
      <c r="C26" s="2">
        <v>20</v>
      </c>
      <c r="D26" s="12" t="s">
        <v>10</v>
      </c>
      <c r="E26" s="12" t="s">
        <v>35</v>
      </c>
      <c r="F26" s="2"/>
      <c r="G26" s="2"/>
      <c r="H26" s="6">
        <v>44650</v>
      </c>
      <c r="I26" s="11">
        <v>17340</v>
      </c>
      <c r="J26" s="2">
        <v>4</v>
      </c>
      <c r="K26" s="27">
        <f t="shared" si="4"/>
        <v>1734</v>
      </c>
      <c r="L26" s="2" t="s">
        <v>582</v>
      </c>
      <c r="M26" s="27">
        <f t="shared" si="2"/>
        <v>3901.5</v>
      </c>
      <c r="N26" s="27">
        <f t="shared" si="0"/>
        <v>13438.5</v>
      </c>
      <c r="O26" s="9" t="s">
        <v>49</v>
      </c>
    </row>
    <row r="27" spans="1:15" ht="30" x14ac:dyDescent="0.25">
      <c r="A27" s="3">
        <v>21</v>
      </c>
      <c r="B27" s="2" t="s">
        <v>50</v>
      </c>
      <c r="C27" s="2">
        <v>14</v>
      </c>
      <c r="D27" s="12" t="s">
        <v>10</v>
      </c>
      <c r="E27" s="12" t="s">
        <v>35</v>
      </c>
      <c r="F27" s="2"/>
      <c r="G27" s="2"/>
      <c r="H27" s="6">
        <v>44650</v>
      </c>
      <c r="I27" s="11">
        <v>15068.62</v>
      </c>
      <c r="J27" s="2">
        <v>4</v>
      </c>
      <c r="K27" s="27">
        <f t="shared" si="4"/>
        <v>1506.8620000000001</v>
      </c>
      <c r="L27" s="2" t="s">
        <v>582</v>
      </c>
      <c r="M27" s="27">
        <f t="shared" si="2"/>
        <v>3390.4395000000004</v>
      </c>
      <c r="N27" s="27">
        <f t="shared" si="0"/>
        <v>11678.1805</v>
      </c>
      <c r="O27" s="9" t="s">
        <v>51</v>
      </c>
    </row>
    <row r="28" spans="1:15" ht="30" x14ac:dyDescent="0.25">
      <c r="A28" s="3">
        <v>22</v>
      </c>
      <c r="B28" s="2" t="s">
        <v>52</v>
      </c>
      <c r="C28" s="2">
        <v>4</v>
      </c>
      <c r="D28" s="12" t="s">
        <v>10</v>
      </c>
      <c r="E28" s="12" t="s">
        <v>35</v>
      </c>
      <c r="F28" s="2"/>
      <c r="G28" s="2"/>
      <c r="H28" s="6">
        <v>44650</v>
      </c>
      <c r="I28" s="11">
        <v>6303.24</v>
      </c>
      <c r="J28" s="2">
        <v>4</v>
      </c>
      <c r="K28" s="27">
        <f t="shared" si="4"/>
        <v>630.32400000000007</v>
      </c>
      <c r="L28" s="2" t="s">
        <v>582</v>
      </c>
      <c r="M28" s="27">
        <f t="shared" si="2"/>
        <v>1418.2289999999998</v>
      </c>
      <c r="N28" s="27">
        <f t="shared" si="0"/>
        <v>4885.0110000000004</v>
      </c>
      <c r="O28" s="9" t="s">
        <v>53</v>
      </c>
    </row>
    <row r="29" spans="1:15" ht="30" x14ac:dyDescent="0.25">
      <c r="A29" s="3">
        <v>23</v>
      </c>
      <c r="B29" s="2" t="s">
        <v>36</v>
      </c>
      <c r="C29" s="2">
        <v>100</v>
      </c>
      <c r="D29" s="12" t="s">
        <v>10</v>
      </c>
      <c r="E29" s="12" t="s">
        <v>35</v>
      </c>
      <c r="F29" s="2"/>
      <c r="G29" s="2"/>
      <c r="H29" s="6">
        <v>44651</v>
      </c>
      <c r="I29" s="11">
        <v>46500</v>
      </c>
      <c r="J29" s="2">
        <v>7</v>
      </c>
      <c r="K29" s="27">
        <f t="shared" si="4"/>
        <v>4650</v>
      </c>
      <c r="L29" s="2" t="s">
        <v>582</v>
      </c>
      <c r="M29" s="27">
        <f t="shared" si="2"/>
        <v>5978.5714285714284</v>
      </c>
      <c r="N29" s="27">
        <f t="shared" si="0"/>
        <v>40521.428571428572</v>
      </c>
      <c r="O29" s="9" t="s">
        <v>54</v>
      </c>
    </row>
    <row r="30" spans="1:15" ht="30" x14ac:dyDescent="0.25">
      <c r="A30" s="3">
        <v>24</v>
      </c>
      <c r="B30" s="2" t="s">
        <v>36</v>
      </c>
      <c r="C30" s="2">
        <v>100</v>
      </c>
      <c r="D30" s="12" t="s">
        <v>10</v>
      </c>
      <c r="E30" s="12" t="s">
        <v>35</v>
      </c>
      <c r="F30" s="2"/>
      <c r="G30" s="2"/>
      <c r="H30" s="6">
        <v>44697</v>
      </c>
      <c r="I30" s="11">
        <v>46500</v>
      </c>
      <c r="J30" s="2">
        <v>7</v>
      </c>
      <c r="K30" s="27">
        <f t="shared" si="4"/>
        <v>4650</v>
      </c>
      <c r="L30" s="2" t="s">
        <v>582</v>
      </c>
      <c r="M30" s="27">
        <f t="shared" si="2"/>
        <v>5978.5714285714284</v>
      </c>
      <c r="N30" s="27">
        <f t="shared" si="0"/>
        <v>40521.428571428572</v>
      </c>
      <c r="O30" s="9" t="s">
        <v>54</v>
      </c>
    </row>
    <row r="31" spans="1:15" x14ac:dyDescent="0.25">
      <c r="A31" s="3">
        <v>25</v>
      </c>
      <c r="B31" s="2" t="s">
        <v>55</v>
      </c>
      <c r="C31" s="2">
        <v>1</v>
      </c>
      <c r="D31" s="12" t="s">
        <v>11</v>
      </c>
      <c r="E31" s="12" t="s">
        <v>35</v>
      </c>
      <c r="F31" s="2"/>
      <c r="G31" s="2"/>
      <c r="H31" s="6">
        <v>44713</v>
      </c>
      <c r="I31" s="11">
        <v>10828.13</v>
      </c>
      <c r="J31" s="2">
        <v>3</v>
      </c>
      <c r="K31" s="27">
        <v>0</v>
      </c>
      <c r="L31" s="2" t="s">
        <v>582</v>
      </c>
      <c r="M31" s="27">
        <f t="shared" si="2"/>
        <v>3609.3766666666666</v>
      </c>
      <c r="N31" s="27">
        <f t="shared" si="0"/>
        <v>7218.7533333333322</v>
      </c>
      <c r="O31" s="9"/>
    </row>
    <row r="32" spans="1:15" x14ac:dyDescent="0.25">
      <c r="A32" s="3">
        <v>26</v>
      </c>
      <c r="B32" s="2" t="s">
        <v>44</v>
      </c>
      <c r="C32" s="2">
        <v>1</v>
      </c>
      <c r="D32" s="12" t="s">
        <v>11</v>
      </c>
      <c r="E32" s="12" t="s">
        <v>35</v>
      </c>
      <c r="F32" s="2"/>
      <c r="G32" s="2"/>
      <c r="H32" s="6">
        <v>44726</v>
      </c>
      <c r="I32" s="11">
        <v>10312.5</v>
      </c>
      <c r="J32" s="2">
        <v>3</v>
      </c>
      <c r="K32" s="27">
        <v>0</v>
      </c>
      <c r="L32" s="2" t="s">
        <v>582</v>
      </c>
      <c r="M32" s="27">
        <f t="shared" si="2"/>
        <v>3437.5</v>
      </c>
      <c r="N32" s="27">
        <f t="shared" si="0"/>
        <v>6875</v>
      </c>
      <c r="O32" s="9"/>
    </row>
    <row r="33" spans="1:15" ht="30" x14ac:dyDescent="0.25">
      <c r="A33" s="3">
        <v>27</v>
      </c>
      <c r="B33" s="2" t="s">
        <v>56</v>
      </c>
      <c r="C33" s="2">
        <v>1</v>
      </c>
      <c r="D33" s="12" t="s">
        <v>9</v>
      </c>
      <c r="E33" s="12" t="s">
        <v>57</v>
      </c>
      <c r="F33" s="2"/>
      <c r="G33" s="2">
        <v>3854309</v>
      </c>
      <c r="H33" s="6">
        <v>44491</v>
      </c>
      <c r="I33" s="11">
        <v>13700</v>
      </c>
      <c r="J33" s="2">
        <v>10</v>
      </c>
      <c r="K33" s="27">
        <f>I33*0.2</f>
        <v>2740</v>
      </c>
      <c r="L33" s="2" t="s">
        <v>582</v>
      </c>
      <c r="M33" s="27">
        <f t="shared" si="2"/>
        <v>1096</v>
      </c>
      <c r="N33" s="27">
        <f t="shared" si="0"/>
        <v>12604</v>
      </c>
      <c r="O33" s="9"/>
    </row>
    <row r="34" spans="1:15" ht="30" x14ac:dyDescent="0.25">
      <c r="A34" s="3">
        <v>28</v>
      </c>
      <c r="B34" s="12" t="s">
        <v>58</v>
      </c>
      <c r="C34" s="2">
        <v>1</v>
      </c>
      <c r="D34" s="12" t="s">
        <v>9</v>
      </c>
      <c r="E34" s="12" t="s">
        <v>57</v>
      </c>
      <c r="F34" s="2"/>
      <c r="G34" s="2" t="s">
        <v>59</v>
      </c>
      <c r="H34" s="6">
        <v>44712</v>
      </c>
      <c r="I34" s="11">
        <v>9800</v>
      </c>
      <c r="J34" s="2">
        <v>10</v>
      </c>
      <c r="K34" s="27">
        <f>I34*0.2</f>
        <v>1960</v>
      </c>
      <c r="L34" s="2" t="s">
        <v>582</v>
      </c>
      <c r="M34" s="27">
        <f t="shared" si="2"/>
        <v>784</v>
      </c>
      <c r="N34" s="27">
        <f t="shared" si="0"/>
        <v>9016</v>
      </c>
      <c r="O34" s="9"/>
    </row>
    <row r="35" spans="1:15" ht="30" x14ac:dyDescent="0.25">
      <c r="A35" s="3">
        <v>29</v>
      </c>
      <c r="B35" s="12" t="s">
        <v>60</v>
      </c>
      <c r="C35" s="2">
        <v>1</v>
      </c>
      <c r="D35" s="12" t="s">
        <v>9</v>
      </c>
      <c r="E35" s="12" t="s">
        <v>61</v>
      </c>
      <c r="F35" s="2"/>
      <c r="G35" s="2">
        <v>526916121</v>
      </c>
      <c r="H35" s="6">
        <v>44462</v>
      </c>
      <c r="I35" s="11">
        <v>33800</v>
      </c>
      <c r="J35" s="2">
        <v>3</v>
      </c>
      <c r="K35" s="27">
        <f>I35*0.2</f>
        <v>6760</v>
      </c>
      <c r="L35" s="2" t="s">
        <v>582</v>
      </c>
      <c r="M35" s="27">
        <f t="shared" si="2"/>
        <v>9013.3333333333339</v>
      </c>
      <c r="N35" s="27">
        <f t="shared" si="0"/>
        <v>24786.666666666664</v>
      </c>
      <c r="O35" s="9"/>
    </row>
    <row r="36" spans="1:15" ht="45" x14ac:dyDescent="0.25">
      <c r="A36" s="3">
        <v>30</v>
      </c>
      <c r="B36" s="12" t="s">
        <v>62</v>
      </c>
      <c r="C36" s="2">
        <v>1</v>
      </c>
      <c r="D36" s="12" t="s">
        <v>7</v>
      </c>
      <c r="E36" s="12" t="s">
        <v>63</v>
      </c>
      <c r="F36" s="2"/>
      <c r="G36" s="2"/>
      <c r="H36" s="6">
        <v>44330</v>
      </c>
      <c r="I36" s="11">
        <v>3300</v>
      </c>
      <c r="J36" s="2">
        <v>5</v>
      </c>
      <c r="K36" s="27">
        <f>I36*0.2</f>
        <v>660</v>
      </c>
      <c r="L36" s="2" t="s">
        <v>582</v>
      </c>
      <c r="M36" s="27">
        <f t="shared" si="2"/>
        <v>528</v>
      </c>
      <c r="N36" s="27">
        <f t="shared" si="0"/>
        <v>2772</v>
      </c>
      <c r="O36" s="9"/>
    </row>
    <row r="37" spans="1:15" ht="45" x14ac:dyDescent="0.25">
      <c r="A37" s="3">
        <v>31</v>
      </c>
      <c r="B37" s="12" t="s">
        <v>64</v>
      </c>
      <c r="C37" s="2">
        <v>1</v>
      </c>
      <c r="D37" s="12" t="s">
        <v>7</v>
      </c>
      <c r="E37" s="12" t="s">
        <v>63</v>
      </c>
      <c r="F37" s="2"/>
      <c r="G37" s="2"/>
      <c r="H37" s="6">
        <v>44452</v>
      </c>
      <c r="I37" s="11">
        <v>17600</v>
      </c>
      <c r="J37" s="2">
        <v>5</v>
      </c>
      <c r="K37" s="27">
        <f t="shared" ref="K37:K41" si="5">I37*0.2</f>
        <v>3520</v>
      </c>
      <c r="L37" s="2" t="s">
        <v>582</v>
      </c>
      <c r="M37" s="27">
        <f t="shared" si="2"/>
        <v>2816</v>
      </c>
      <c r="N37" s="27">
        <f t="shared" si="0"/>
        <v>14784</v>
      </c>
      <c r="O37" s="9"/>
    </row>
    <row r="38" spans="1:15" ht="45" x14ac:dyDescent="0.25">
      <c r="A38" s="3">
        <v>32</v>
      </c>
      <c r="B38" s="12" t="s">
        <v>65</v>
      </c>
      <c r="C38" s="2">
        <v>1</v>
      </c>
      <c r="D38" s="12" t="s">
        <v>7</v>
      </c>
      <c r="E38" s="12" t="s">
        <v>63</v>
      </c>
      <c r="F38" s="2"/>
      <c r="G38" s="2"/>
      <c r="H38" s="6">
        <v>44600</v>
      </c>
      <c r="I38" s="11">
        <v>4550</v>
      </c>
      <c r="J38" s="2">
        <v>5</v>
      </c>
      <c r="K38" s="27">
        <f t="shared" si="5"/>
        <v>910</v>
      </c>
      <c r="L38" s="2" t="s">
        <v>582</v>
      </c>
      <c r="M38" s="27">
        <f t="shared" si="2"/>
        <v>728</v>
      </c>
      <c r="N38" s="27">
        <f t="shared" si="0"/>
        <v>3822</v>
      </c>
      <c r="O38" s="9"/>
    </row>
    <row r="39" spans="1:15" ht="45" x14ac:dyDescent="0.25">
      <c r="A39" s="3">
        <v>33</v>
      </c>
      <c r="B39" s="12" t="s">
        <v>66</v>
      </c>
      <c r="C39" s="2">
        <v>1</v>
      </c>
      <c r="D39" s="12" t="s">
        <v>7</v>
      </c>
      <c r="E39" s="12" t="s">
        <v>63</v>
      </c>
      <c r="F39" s="2"/>
      <c r="G39" s="2"/>
      <c r="H39" s="6">
        <v>44715</v>
      </c>
      <c r="I39" s="11">
        <v>8430</v>
      </c>
      <c r="J39" s="2">
        <v>5</v>
      </c>
      <c r="K39" s="27">
        <f t="shared" si="5"/>
        <v>1686</v>
      </c>
      <c r="L39" s="2" t="s">
        <v>582</v>
      </c>
      <c r="M39" s="27">
        <f t="shared" si="2"/>
        <v>1348.8</v>
      </c>
      <c r="N39" s="27">
        <f t="shared" si="0"/>
        <v>7081.2</v>
      </c>
      <c r="O39" s="9"/>
    </row>
    <row r="40" spans="1:15" ht="45" x14ac:dyDescent="0.25">
      <c r="A40" s="3">
        <v>34</v>
      </c>
      <c r="B40" s="12" t="s">
        <v>66</v>
      </c>
      <c r="C40" s="2">
        <v>1</v>
      </c>
      <c r="D40" s="12" t="s">
        <v>7</v>
      </c>
      <c r="E40" s="12" t="s">
        <v>63</v>
      </c>
      <c r="F40" s="2"/>
      <c r="G40" s="2"/>
      <c r="H40" s="6">
        <v>44715</v>
      </c>
      <c r="I40" s="11">
        <v>8430</v>
      </c>
      <c r="J40" s="2">
        <v>5</v>
      </c>
      <c r="K40" s="27">
        <f t="shared" si="5"/>
        <v>1686</v>
      </c>
      <c r="L40" s="2" t="s">
        <v>582</v>
      </c>
      <c r="M40" s="27">
        <f t="shared" si="2"/>
        <v>1348.8</v>
      </c>
      <c r="N40" s="27">
        <f t="shared" si="0"/>
        <v>7081.2</v>
      </c>
      <c r="O40" s="9"/>
    </row>
    <row r="41" spans="1:15" ht="45" x14ac:dyDescent="0.25">
      <c r="A41" s="3">
        <v>35</v>
      </c>
      <c r="B41" s="12" t="s">
        <v>67</v>
      </c>
      <c r="C41" s="2">
        <v>1</v>
      </c>
      <c r="D41" s="12" t="s">
        <v>7</v>
      </c>
      <c r="E41" s="12" t="s">
        <v>63</v>
      </c>
      <c r="F41" s="2"/>
      <c r="G41" s="2"/>
      <c r="H41" s="6">
        <v>44715</v>
      </c>
      <c r="I41" s="11">
        <v>4200</v>
      </c>
      <c r="J41" s="2">
        <v>5</v>
      </c>
      <c r="K41" s="27">
        <f t="shared" si="5"/>
        <v>840</v>
      </c>
      <c r="L41" s="2" t="s">
        <v>582</v>
      </c>
      <c r="M41" s="27">
        <f t="shared" si="2"/>
        <v>672</v>
      </c>
      <c r="N41" s="27">
        <f t="shared" si="0"/>
        <v>3528</v>
      </c>
      <c r="O41" s="9"/>
    </row>
    <row r="42" spans="1:15" ht="45" x14ac:dyDescent="0.25">
      <c r="A42" s="3">
        <v>36</v>
      </c>
      <c r="B42" s="12" t="s">
        <v>68</v>
      </c>
      <c r="C42" s="2">
        <v>1</v>
      </c>
      <c r="D42" s="12" t="s">
        <v>9</v>
      </c>
      <c r="E42" s="12" t="s">
        <v>69</v>
      </c>
      <c r="F42" s="2"/>
      <c r="G42" s="2"/>
      <c r="H42" s="6">
        <v>44725</v>
      </c>
      <c r="I42" s="11">
        <v>6500</v>
      </c>
      <c r="J42" s="2">
        <v>4</v>
      </c>
      <c r="K42" s="27">
        <f>I42*0.1</f>
        <v>650</v>
      </c>
      <c r="L42" s="2" t="s">
        <v>582</v>
      </c>
      <c r="M42" s="27">
        <f t="shared" si="2"/>
        <v>1462.5</v>
      </c>
      <c r="N42" s="27">
        <f t="shared" si="0"/>
        <v>5037.5</v>
      </c>
      <c r="O42" s="9"/>
    </row>
    <row r="43" spans="1:15" ht="30" x14ac:dyDescent="0.25">
      <c r="A43" s="3">
        <v>37</v>
      </c>
      <c r="B43" s="12" t="s">
        <v>70</v>
      </c>
      <c r="C43" s="2">
        <v>1</v>
      </c>
      <c r="D43" s="12" t="s">
        <v>11</v>
      </c>
      <c r="E43" s="12" t="s">
        <v>71</v>
      </c>
      <c r="F43" s="2"/>
      <c r="G43" s="2"/>
      <c r="H43" s="6">
        <v>44453</v>
      </c>
      <c r="I43" s="11">
        <v>2990</v>
      </c>
      <c r="J43" s="2">
        <v>3</v>
      </c>
      <c r="K43" s="27">
        <v>0</v>
      </c>
      <c r="L43" s="2" t="s">
        <v>582</v>
      </c>
      <c r="M43" s="27">
        <f t="shared" si="2"/>
        <v>996.66666666666663</v>
      </c>
      <c r="N43" s="27">
        <f t="shared" si="0"/>
        <v>1993.3333333333335</v>
      </c>
      <c r="O43" s="9"/>
    </row>
    <row r="44" spans="1:15" x14ac:dyDescent="0.25">
      <c r="A44" s="3">
        <v>38</v>
      </c>
      <c r="B44" s="12" t="s">
        <v>72</v>
      </c>
      <c r="C44" s="2">
        <v>1</v>
      </c>
      <c r="D44" s="12" t="s">
        <v>11</v>
      </c>
      <c r="E44" s="12" t="s">
        <v>73</v>
      </c>
      <c r="F44" s="2"/>
      <c r="G44" s="2">
        <v>17497</v>
      </c>
      <c r="H44" s="6">
        <v>44650</v>
      </c>
      <c r="I44" s="11">
        <v>5084.8</v>
      </c>
      <c r="J44" s="2">
        <v>3</v>
      </c>
      <c r="K44" s="27">
        <v>0</v>
      </c>
      <c r="L44" s="2" t="s">
        <v>582</v>
      </c>
      <c r="M44" s="27">
        <f t="shared" si="2"/>
        <v>1694.9333333333334</v>
      </c>
      <c r="N44" s="27">
        <f t="shared" si="0"/>
        <v>3389.8666666666668</v>
      </c>
      <c r="O44" s="9"/>
    </row>
    <row r="45" spans="1:15" x14ac:dyDescent="0.25">
      <c r="A45" s="3">
        <v>39</v>
      </c>
      <c r="B45" s="12" t="s">
        <v>74</v>
      </c>
      <c r="C45" s="2">
        <v>1</v>
      </c>
      <c r="D45" s="12" t="s">
        <v>11</v>
      </c>
      <c r="E45" s="12" t="s">
        <v>73</v>
      </c>
      <c r="F45" s="2"/>
      <c r="G45" s="2">
        <v>51840</v>
      </c>
      <c r="H45" s="6">
        <v>44602</v>
      </c>
      <c r="I45" s="11">
        <v>3533.38</v>
      </c>
      <c r="J45" s="2">
        <v>3</v>
      </c>
      <c r="K45" s="27">
        <v>0</v>
      </c>
      <c r="L45" s="2" t="s">
        <v>582</v>
      </c>
      <c r="M45" s="27">
        <f t="shared" si="2"/>
        <v>1177.7933333333333</v>
      </c>
      <c r="N45" s="27">
        <f t="shared" si="0"/>
        <v>2355.586666666667</v>
      </c>
      <c r="O45" s="9"/>
    </row>
    <row r="46" spans="1:15" x14ac:dyDescent="0.25">
      <c r="A46" s="3">
        <v>40</v>
      </c>
      <c r="B46" s="12" t="s">
        <v>75</v>
      </c>
      <c r="C46" s="2">
        <v>1</v>
      </c>
      <c r="D46" s="12" t="s">
        <v>11</v>
      </c>
      <c r="E46" s="12" t="s">
        <v>73</v>
      </c>
      <c r="F46" s="2"/>
      <c r="G46" s="2">
        <v>10043</v>
      </c>
      <c r="H46" s="6">
        <v>44650</v>
      </c>
      <c r="I46" s="11">
        <v>2792.56</v>
      </c>
      <c r="J46" s="2">
        <v>10</v>
      </c>
      <c r="K46" s="27">
        <v>0</v>
      </c>
      <c r="L46" s="2" t="s">
        <v>582</v>
      </c>
      <c r="M46" s="27">
        <f t="shared" si="2"/>
        <v>279.25599999999997</v>
      </c>
      <c r="N46" s="27">
        <f t="shared" si="0"/>
        <v>2513.3040000000001</v>
      </c>
      <c r="O46" s="9"/>
    </row>
    <row r="47" spans="1:15" x14ac:dyDescent="0.25">
      <c r="A47" s="3">
        <v>41</v>
      </c>
      <c r="B47" s="12" t="s">
        <v>76</v>
      </c>
      <c r="C47" s="2">
        <v>1</v>
      </c>
      <c r="D47" s="12" t="s">
        <v>11</v>
      </c>
      <c r="E47" s="12" t="s">
        <v>73</v>
      </c>
      <c r="F47" s="2"/>
      <c r="G47" s="2">
        <v>146615</v>
      </c>
      <c r="H47" s="6">
        <v>44673</v>
      </c>
      <c r="I47" s="11">
        <v>2729.21</v>
      </c>
      <c r="J47" s="2">
        <v>3</v>
      </c>
      <c r="K47" s="27">
        <v>0</v>
      </c>
      <c r="L47" s="2" t="s">
        <v>582</v>
      </c>
      <c r="M47" s="27">
        <f t="shared" si="2"/>
        <v>909.73666666666668</v>
      </c>
      <c r="N47" s="27">
        <f t="shared" si="0"/>
        <v>1819.4733333333334</v>
      </c>
      <c r="O47" s="9"/>
    </row>
    <row r="48" spans="1:15" ht="45" x14ac:dyDescent="0.25">
      <c r="A48" s="3">
        <v>43</v>
      </c>
      <c r="B48" s="12" t="s">
        <v>81</v>
      </c>
      <c r="C48" s="2">
        <v>4</v>
      </c>
      <c r="D48" s="12" t="s">
        <v>11</v>
      </c>
      <c r="E48" s="12" t="s">
        <v>82</v>
      </c>
      <c r="F48" s="2"/>
      <c r="G48" s="2"/>
      <c r="H48" s="7">
        <v>44369</v>
      </c>
      <c r="I48" s="11">
        <v>9800</v>
      </c>
      <c r="J48" s="2">
        <v>10</v>
      </c>
      <c r="K48" s="27">
        <f>I48*0.1</f>
        <v>980</v>
      </c>
      <c r="L48" s="2" t="s">
        <v>582</v>
      </c>
      <c r="M48" s="27">
        <f t="shared" si="2"/>
        <v>882</v>
      </c>
      <c r="N48" s="27">
        <f t="shared" si="0"/>
        <v>8918</v>
      </c>
      <c r="O48" s="9" t="s">
        <v>83</v>
      </c>
    </row>
    <row r="49" spans="1:15" ht="45" x14ac:dyDescent="0.25">
      <c r="A49" s="3">
        <v>44</v>
      </c>
      <c r="B49" s="12" t="s">
        <v>84</v>
      </c>
      <c r="C49" s="2">
        <v>8</v>
      </c>
      <c r="D49" s="12" t="s">
        <v>11</v>
      </c>
      <c r="E49" s="12" t="s">
        <v>82</v>
      </c>
      <c r="F49" s="2"/>
      <c r="G49" s="2"/>
      <c r="H49" s="6">
        <v>44369</v>
      </c>
      <c r="I49" s="11">
        <v>25200</v>
      </c>
      <c r="J49" s="2">
        <v>5</v>
      </c>
      <c r="K49" s="27">
        <f>I49*0.1</f>
        <v>2520</v>
      </c>
      <c r="L49" s="2" t="s">
        <v>582</v>
      </c>
      <c r="M49" s="27">
        <f t="shared" si="2"/>
        <v>4536</v>
      </c>
      <c r="N49" s="27">
        <f t="shared" si="0"/>
        <v>20664</v>
      </c>
      <c r="O49" s="9" t="s">
        <v>85</v>
      </c>
    </row>
    <row r="50" spans="1:15" ht="45" x14ac:dyDescent="0.25">
      <c r="A50" s="3">
        <v>45</v>
      </c>
      <c r="B50" s="30" t="s">
        <v>86</v>
      </c>
      <c r="C50" s="2">
        <v>1</v>
      </c>
      <c r="D50" s="12" t="s">
        <v>9</v>
      </c>
      <c r="E50" s="12" t="s">
        <v>82</v>
      </c>
      <c r="F50" s="2"/>
      <c r="G50" s="2"/>
      <c r="H50" s="6">
        <v>44369</v>
      </c>
      <c r="I50" s="11">
        <v>8900</v>
      </c>
      <c r="J50" s="2">
        <v>5</v>
      </c>
      <c r="K50" s="27">
        <f>I50*0.1</f>
        <v>890</v>
      </c>
      <c r="L50" s="2" t="s">
        <v>582</v>
      </c>
      <c r="M50" s="27">
        <f t="shared" si="2"/>
        <v>1602</v>
      </c>
      <c r="N50" s="27">
        <f t="shared" si="0"/>
        <v>7298</v>
      </c>
      <c r="O50" s="9"/>
    </row>
    <row r="51" spans="1:15" ht="45" x14ac:dyDescent="0.25">
      <c r="A51" s="3">
        <v>47</v>
      </c>
      <c r="B51" s="12" t="s">
        <v>89</v>
      </c>
      <c r="C51" s="2">
        <v>1</v>
      </c>
      <c r="D51" s="12" t="s">
        <v>7</v>
      </c>
      <c r="E51" s="12" t="s">
        <v>90</v>
      </c>
      <c r="F51" s="2"/>
      <c r="G51" s="2"/>
      <c r="H51" s="6">
        <v>44453</v>
      </c>
      <c r="I51" s="11">
        <v>21503</v>
      </c>
      <c r="J51" s="2">
        <v>5</v>
      </c>
      <c r="K51" s="27">
        <f>I51*0.2</f>
        <v>4300.6000000000004</v>
      </c>
      <c r="L51" s="2" t="s">
        <v>582</v>
      </c>
      <c r="M51" s="27">
        <f t="shared" si="2"/>
        <v>3440.4800000000005</v>
      </c>
      <c r="N51" s="27">
        <f t="shared" si="0"/>
        <v>18062.52</v>
      </c>
      <c r="O51" s="9"/>
    </row>
    <row r="52" spans="1:15" ht="45" x14ac:dyDescent="0.25">
      <c r="A52" s="3">
        <v>49</v>
      </c>
      <c r="B52" s="12" t="s">
        <v>91</v>
      </c>
      <c r="C52" s="2">
        <v>1</v>
      </c>
      <c r="D52" s="12" t="s">
        <v>8</v>
      </c>
      <c r="E52" s="12" t="s">
        <v>92</v>
      </c>
      <c r="F52" s="2"/>
      <c r="G52" s="2"/>
      <c r="H52" s="6">
        <v>44692</v>
      </c>
      <c r="I52" s="11">
        <v>2461.81</v>
      </c>
      <c r="J52" s="2">
        <v>4</v>
      </c>
      <c r="K52" s="27">
        <v>0</v>
      </c>
      <c r="L52" s="2" t="s">
        <v>582</v>
      </c>
      <c r="M52" s="27">
        <f t="shared" si="2"/>
        <v>615.45249999999999</v>
      </c>
      <c r="N52" s="27">
        <f t="shared" si="0"/>
        <v>1846.3575000000001</v>
      </c>
      <c r="O52" s="9"/>
    </row>
    <row r="53" spans="1:15" ht="45" x14ac:dyDescent="0.25">
      <c r="A53" s="3">
        <v>50</v>
      </c>
      <c r="B53" s="12" t="s">
        <v>93</v>
      </c>
      <c r="C53" s="2">
        <v>1</v>
      </c>
      <c r="D53" s="12" t="s">
        <v>8</v>
      </c>
      <c r="E53" s="12" t="s">
        <v>92</v>
      </c>
      <c r="F53" s="2"/>
      <c r="G53" s="2"/>
      <c r="H53" s="6">
        <v>44692</v>
      </c>
      <c r="I53" s="11">
        <v>1623.63</v>
      </c>
      <c r="J53" s="2">
        <v>4</v>
      </c>
      <c r="K53" s="27">
        <v>0</v>
      </c>
      <c r="L53" s="2" t="s">
        <v>582</v>
      </c>
      <c r="M53" s="27">
        <f t="shared" si="2"/>
        <v>405.90750000000003</v>
      </c>
      <c r="N53" s="27">
        <f t="shared" si="0"/>
        <v>1217.7225000000001</v>
      </c>
      <c r="O53" s="9"/>
    </row>
    <row r="54" spans="1:15" ht="45" x14ac:dyDescent="0.25">
      <c r="A54" s="3">
        <v>51</v>
      </c>
      <c r="B54" s="12" t="s">
        <v>91</v>
      </c>
      <c r="C54" s="2">
        <v>1</v>
      </c>
      <c r="D54" s="12" t="s">
        <v>8</v>
      </c>
      <c r="E54" s="12" t="s">
        <v>92</v>
      </c>
      <c r="F54" s="2"/>
      <c r="G54" s="2"/>
      <c r="H54" s="6">
        <v>44328</v>
      </c>
      <c r="I54" s="11">
        <v>2461.81</v>
      </c>
      <c r="J54" s="2">
        <v>4</v>
      </c>
      <c r="K54" s="27">
        <v>0</v>
      </c>
      <c r="L54" s="2" t="s">
        <v>582</v>
      </c>
      <c r="M54" s="27">
        <f t="shared" si="2"/>
        <v>615.45249999999999</v>
      </c>
      <c r="N54" s="27">
        <f t="shared" si="0"/>
        <v>1846.3575000000001</v>
      </c>
      <c r="O54" s="9"/>
    </row>
    <row r="55" spans="1:15" x14ac:dyDescent="0.25">
      <c r="A55" s="3">
        <v>52</v>
      </c>
      <c r="B55" s="12" t="s">
        <v>95</v>
      </c>
      <c r="C55" s="2">
        <v>1</v>
      </c>
      <c r="D55" s="12" t="s">
        <v>8</v>
      </c>
      <c r="E55" s="12" t="s">
        <v>92</v>
      </c>
      <c r="F55" s="2"/>
      <c r="G55" s="2"/>
      <c r="H55" s="6">
        <v>44727</v>
      </c>
      <c r="I55" s="11">
        <v>1298.18</v>
      </c>
      <c r="J55" s="2">
        <v>4</v>
      </c>
      <c r="K55" s="27">
        <v>0</v>
      </c>
      <c r="L55" s="2" t="s">
        <v>582</v>
      </c>
      <c r="M55" s="27">
        <f t="shared" si="2"/>
        <v>324.54500000000002</v>
      </c>
      <c r="N55" s="27">
        <f t="shared" si="0"/>
        <v>973.63499999999999</v>
      </c>
      <c r="O55" s="9"/>
    </row>
    <row r="56" spans="1:15" ht="45" x14ac:dyDescent="0.25">
      <c r="A56" s="3">
        <v>53</v>
      </c>
      <c r="B56" s="12" t="s">
        <v>96</v>
      </c>
      <c r="C56" s="2">
        <v>6</v>
      </c>
      <c r="D56" s="12" t="s">
        <v>10</v>
      </c>
      <c r="E56" s="12" t="s">
        <v>97</v>
      </c>
      <c r="F56" s="2"/>
      <c r="G56" s="2"/>
      <c r="H56" s="6">
        <v>44480</v>
      </c>
      <c r="I56" s="11">
        <v>28095.200000000001</v>
      </c>
      <c r="J56" s="2">
        <v>10</v>
      </c>
      <c r="K56" s="27">
        <f t="shared" ref="K56:K60" si="6">I56*0.1</f>
        <v>2809.5200000000004</v>
      </c>
      <c r="L56" s="2" t="s">
        <v>582</v>
      </c>
      <c r="M56" s="27">
        <f t="shared" si="2"/>
        <v>2528.5680000000002</v>
      </c>
      <c r="N56" s="27">
        <f t="shared" si="0"/>
        <v>25566.632000000001</v>
      </c>
      <c r="O56" s="9" t="s">
        <v>98</v>
      </c>
    </row>
    <row r="57" spans="1:15" ht="45" x14ac:dyDescent="0.25">
      <c r="A57" s="3">
        <v>54</v>
      </c>
      <c r="B57" s="12" t="s">
        <v>96</v>
      </c>
      <c r="C57" s="2">
        <v>6</v>
      </c>
      <c r="D57" s="12" t="s">
        <v>10</v>
      </c>
      <c r="E57" s="12" t="s">
        <v>97</v>
      </c>
      <c r="F57" s="2"/>
      <c r="G57" s="2"/>
      <c r="H57" s="6">
        <v>44481</v>
      </c>
      <c r="I57" s="11">
        <v>28095.200000000001</v>
      </c>
      <c r="J57" s="2">
        <v>10</v>
      </c>
      <c r="K57" s="27">
        <f t="shared" si="6"/>
        <v>2809.5200000000004</v>
      </c>
      <c r="L57" s="2" t="s">
        <v>582</v>
      </c>
      <c r="M57" s="27">
        <f t="shared" si="2"/>
        <v>2528.5680000000002</v>
      </c>
      <c r="N57" s="27">
        <f t="shared" si="0"/>
        <v>25566.632000000001</v>
      </c>
      <c r="O57" s="9" t="s">
        <v>98</v>
      </c>
    </row>
    <row r="58" spans="1:15" ht="45" x14ac:dyDescent="0.25">
      <c r="A58" s="3">
        <v>55</v>
      </c>
      <c r="B58" s="12" t="s">
        <v>96</v>
      </c>
      <c r="C58" s="2">
        <v>6</v>
      </c>
      <c r="D58" s="12" t="s">
        <v>10</v>
      </c>
      <c r="E58" s="12" t="s">
        <v>97</v>
      </c>
      <c r="F58" s="2"/>
      <c r="G58" s="2"/>
      <c r="H58" s="6">
        <v>44629</v>
      </c>
      <c r="I58" s="11">
        <v>29264.5</v>
      </c>
      <c r="J58" s="2">
        <v>10</v>
      </c>
      <c r="K58" s="27">
        <f t="shared" si="6"/>
        <v>2926.4500000000003</v>
      </c>
      <c r="L58" s="2" t="s">
        <v>582</v>
      </c>
      <c r="M58" s="27">
        <f t="shared" si="2"/>
        <v>2633.8049999999998</v>
      </c>
      <c r="N58" s="27">
        <f t="shared" si="0"/>
        <v>26630.695</v>
      </c>
      <c r="O58" s="9" t="s">
        <v>99</v>
      </c>
    </row>
    <row r="59" spans="1:15" ht="30" x14ac:dyDescent="0.25">
      <c r="A59" s="3">
        <v>56</v>
      </c>
      <c r="B59" s="12" t="s">
        <v>100</v>
      </c>
      <c r="C59" s="2">
        <v>2</v>
      </c>
      <c r="D59" s="12" t="s">
        <v>10</v>
      </c>
      <c r="E59" s="12" t="s">
        <v>101</v>
      </c>
      <c r="F59" s="2"/>
      <c r="G59" s="2"/>
      <c r="H59" s="6">
        <v>44665</v>
      </c>
      <c r="I59" s="11">
        <v>10970.46</v>
      </c>
      <c r="J59" s="2">
        <v>10</v>
      </c>
      <c r="K59" s="27">
        <f t="shared" si="6"/>
        <v>1097.046</v>
      </c>
      <c r="L59" s="2" t="s">
        <v>582</v>
      </c>
      <c r="M59" s="27">
        <f t="shared" si="2"/>
        <v>987.34139999999991</v>
      </c>
      <c r="N59" s="27">
        <f t="shared" si="0"/>
        <v>9983.1185999999998</v>
      </c>
      <c r="O59" s="9" t="s">
        <v>102</v>
      </c>
    </row>
    <row r="60" spans="1:15" ht="30" x14ac:dyDescent="0.25">
      <c r="A60" s="3">
        <v>59</v>
      </c>
      <c r="B60" s="12" t="s">
        <v>105</v>
      </c>
      <c r="C60" s="2">
        <v>8</v>
      </c>
      <c r="D60" s="12" t="s">
        <v>10</v>
      </c>
      <c r="E60" s="12" t="s">
        <v>101</v>
      </c>
      <c r="F60" s="2"/>
      <c r="G60" s="2"/>
      <c r="H60" s="6">
        <v>44734</v>
      </c>
      <c r="I60" s="11">
        <v>18041.52</v>
      </c>
      <c r="J60" s="2">
        <v>10</v>
      </c>
      <c r="K60" s="27">
        <f t="shared" si="6"/>
        <v>1804.152</v>
      </c>
      <c r="L60" s="2" t="s">
        <v>582</v>
      </c>
      <c r="M60" s="27">
        <f t="shared" si="2"/>
        <v>1623.7368000000001</v>
      </c>
      <c r="N60" s="27">
        <f t="shared" si="0"/>
        <v>16417.783200000002</v>
      </c>
      <c r="O60" s="9" t="s">
        <v>106</v>
      </c>
    </row>
    <row r="61" spans="1:15" ht="30" x14ac:dyDescent="0.25">
      <c r="A61" s="3">
        <v>60</v>
      </c>
      <c r="B61" s="12" t="s">
        <v>107</v>
      </c>
      <c r="C61" s="2">
        <v>1</v>
      </c>
      <c r="D61" s="12" t="s">
        <v>11</v>
      </c>
      <c r="E61" s="12" t="s">
        <v>108</v>
      </c>
      <c r="F61" s="2"/>
      <c r="G61" s="2"/>
      <c r="H61" s="6">
        <v>44673</v>
      </c>
      <c r="I61" s="11">
        <v>1712</v>
      </c>
      <c r="J61" s="2">
        <v>3</v>
      </c>
      <c r="K61" s="27">
        <v>0</v>
      </c>
      <c r="L61" s="2" t="s">
        <v>582</v>
      </c>
      <c r="M61" s="27">
        <f t="shared" si="2"/>
        <v>570.66666666666663</v>
      </c>
      <c r="N61" s="27">
        <f t="shared" si="0"/>
        <v>1141.3333333333335</v>
      </c>
      <c r="O61" s="9"/>
    </row>
    <row r="62" spans="1:15" ht="30" x14ac:dyDescent="0.25">
      <c r="A62" s="3">
        <v>61</v>
      </c>
      <c r="B62" s="12" t="s">
        <v>109</v>
      </c>
      <c r="C62" s="2">
        <v>1</v>
      </c>
      <c r="D62" s="12" t="s">
        <v>11</v>
      </c>
      <c r="E62" s="12" t="s">
        <v>108</v>
      </c>
      <c r="F62" s="2"/>
      <c r="G62" s="2"/>
      <c r="H62" s="6">
        <v>44537</v>
      </c>
      <c r="I62" s="11">
        <v>1898</v>
      </c>
      <c r="J62" s="2">
        <v>5</v>
      </c>
      <c r="K62" s="27">
        <v>0</v>
      </c>
      <c r="L62" s="2" t="s">
        <v>582</v>
      </c>
      <c r="M62" s="27">
        <f t="shared" si="2"/>
        <v>379.6</v>
      </c>
      <c r="N62" s="27">
        <f t="shared" si="0"/>
        <v>1518.4</v>
      </c>
      <c r="O62" s="9"/>
    </row>
    <row r="63" spans="1:15" x14ac:dyDescent="0.25">
      <c r="A63" s="3">
        <v>62</v>
      </c>
      <c r="B63" s="12" t="s">
        <v>111</v>
      </c>
      <c r="C63" s="2">
        <v>1</v>
      </c>
      <c r="D63" s="12" t="s">
        <v>11</v>
      </c>
      <c r="E63" s="12" t="s">
        <v>112</v>
      </c>
      <c r="F63" s="2"/>
      <c r="G63" s="2"/>
      <c r="H63" s="6">
        <v>44343</v>
      </c>
      <c r="I63" s="11">
        <v>736</v>
      </c>
      <c r="J63" s="2">
        <v>3</v>
      </c>
      <c r="K63" s="27">
        <v>0</v>
      </c>
      <c r="L63" s="2" t="s">
        <v>582</v>
      </c>
      <c r="M63" s="27">
        <f t="shared" si="2"/>
        <v>245.33333333333334</v>
      </c>
      <c r="N63" s="27">
        <f t="shared" si="0"/>
        <v>490.66666666666663</v>
      </c>
      <c r="O63" s="9"/>
    </row>
    <row r="64" spans="1:15" x14ac:dyDescent="0.25">
      <c r="A64" s="3">
        <v>63</v>
      </c>
      <c r="B64" s="12" t="s">
        <v>113</v>
      </c>
      <c r="C64" s="2">
        <v>1</v>
      </c>
      <c r="D64" s="12" t="s">
        <v>11</v>
      </c>
      <c r="E64" s="12" t="s">
        <v>112</v>
      </c>
      <c r="F64" s="2"/>
      <c r="G64" s="2"/>
      <c r="H64" s="6">
        <v>44343</v>
      </c>
      <c r="I64" s="11">
        <v>785</v>
      </c>
      <c r="J64" s="2">
        <v>3</v>
      </c>
      <c r="K64" s="27">
        <v>0</v>
      </c>
      <c r="L64" s="2" t="s">
        <v>582</v>
      </c>
      <c r="M64" s="27">
        <f t="shared" si="2"/>
        <v>261.66666666666669</v>
      </c>
      <c r="N64" s="27">
        <f t="shared" si="0"/>
        <v>523.33333333333326</v>
      </c>
      <c r="O64" s="9"/>
    </row>
    <row r="65" spans="1:15" x14ac:dyDescent="0.25">
      <c r="A65" s="3">
        <v>64</v>
      </c>
      <c r="B65" s="12" t="s">
        <v>114</v>
      </c>
      <c r="C65" s="2">
        <v>1</v>
      </c>
      <c r="D65" s="12" t="s">
        <v>11</v>
      </c>
      <c r="E65" s="12" t="s">
        <v>112</v>
      </c>
      <c r="F65" s="2"/>
      <c r="G65" s="2"/>
      <c r="H65" s="6">
        <v>44482</v>
      </c>
      <c r="I65" s="11">
        <v>3959.28</v>
      </c>
      <c r="J65" s="2">
        <v>3</v>
      </c>
      <c r="K65" s="27">
        <v>0</v>
      </c>
      <c r="L65" s="2" t="s">
        <v>582</v>
      </c>
      <c r="M65" s="27">
        <f t="shared" si="2"/>
        <v>1319.76</v>
      </c>
      <c r="N65" s="27">
        <f t="shared" si="0"/>
        <v>2639.5200000000004</v>
      </c>
      <c r="O65" s="9"/>
    </row>
    <row r="66" spans="1:15" x14ac:dyDescent="0.25">
      <c r="A66" s="3">
        <v>65</v>
      </c>
      <c r="B66" s="12" t="s">
        <v>115</v>
      </c>
      <c r="C66" s="2">
        <v>1</v>
      </c>
      <c r="D66" s="12" t="s">
        <v>11</v>
      </c>
      <c r="E66" s="12" t="s">
        <v>112</v>
      </c>
      <c r="F66" s="2"/>
      <c r="G66" s="2"/>
      <c r="H66" s="6">
        <v>44490</v>
      </c>
      <c r="I66" s="11">
        <v>1850</v>
      </c>
      <c r="J66" s="2">
        <v>5</v>
      </c>
      <c r="K66" s="27">
        <v>0</v>
      </c>
      <c r="L66" s="2" t="s">
        <v>582</v>
      </c>
      <c r="M66" s="27">
        <f t="shared" si="2"/>
        <v>370</v>
      </c>
      <c r="N66" s="27">
        <f t="shared" si="0"/>
        <v>1480</v>
      </c>
      <c r="O66" s="9"/>
    </row>
    <row r="67" spans="1:15" x14ac:dyDescent="0.25">
      <c r="A67" s="3">
        <v>66</v>
      </c>
      <c r="B67" s="12" t="s">
        <v>116</v>
      </c>
      <c r="C67" s="2">
        <v>1</v>
      </c>
      <c r="D67" s="12" t="s">
        <v>11</v>
      </c>
      <c r="E67" s="12" t="s">
        <v>112</v>
      </c>
      <c r="F67" s="2"/>
      <c r="G67" s="2"/>
      <c r="H67" s="6">
        <v>44487</v>
      </c>
      <c r="I67" s="11">
        <v>1750</v>
      </c>
      <c r="J67" s="2">
        <v>5</v>
      </c>
      <c r="K67" s="27">
        <v>0</v>
      </c>
      <c r="L67" s="2" t="s">
        <v>582</v>
      </c>
      <c r="M67" s="27">
        <f t="shared" si="2"/>
        <v>350</v>
      </c>
      <c r="N67" s="27">
        <f t="shared" ref="N67:N85" si="7">I67-M67</f>
        <v>1400</v>
      </c>
      <c r="O67" s="9"/>
    </row>
    <row r="68" spans="1:15" x14ac:dyDescent="0.25">
      <c r="A68" s="3">
        <v>67</v>
      </c>
      <c r="B68" s="12" t="s">
        <v>117</v>
      </c>
      <c r="C68" s="2">
        <v>1</v>
      </c>
      <c r="D68" s="12" t="s">
        <v>11</v>
      </c>
      <c r="E68" s="12" t="s">
        <v>112</v>
      </c>
      <c r="F68" s="2"/>
      <c r="G68" s="2"/>
      <c r="H68" s="6">
        <v>44523</v>
      </c>
      <c r="I68" s="11">
        <v>2020</v>
      </c>
      <c r="J68" s="2">
        <v>5</v>
      </c>
      <c r="K68" s="27">
        <v>0</v>
      </c>
      <c r="L68" s="2" t="s">
        <v>582</v>
      </c>
      <c r="M68" s="27">
        <f t="shared" si="2"/>
        <v>404</v>
      </c>
      <c r="N68" s="27">
        <f t="shared" si="7"/>
        <v>1616</v>
      </c>
      <c r="O68" s="9"/>
    </row>
    <row r="69" spans="1:15" x14ac:dyDescent="0.25">
      <c r="A69" s="3">
        <v>68</v>
      </c>
      <c r="B69" s="12" t="s">
        <v>118</v>
      </c>
      <c r="C69" s="2">
        <v>1</v>
      </c>
      <c r="D69" s="12" t="s">
        <v>11</v>
      </c>
      <c r="E69" s="12" t="s">
        <v>112</v>
      </c>
      <c r="F69" s="2"/>
      <c r="G69" s="2"/>
      <c r="H69" s="6">
        <v>44623</v>
      </c>
      <c r="I69" s="11">
        <v>4168.1400000000003</v>
      </c>
      <c r="J69" s="2">
        <v>5</v>
      </c>
      <c r="K69" s="27">
        <v>0</v>
      </c>
      <c r="L69" s="2" t="s">
        <v>582</v>
      </c>
      <c r="M69" s="27">
        <f t="shared" si="2"/>
        <v>833.62800000000004</v>
      </c>
      <c r="N69" s="27">
        <f t="shared" si="7"/>
        <v>3334.5120000000002</v>
      </c>
      <c r="O69" s="9"/>
    </row>
    <row r="70" spans="1:15" x14ac:dyDescent="0.25">
      <c r="A70" s="3">
        <v>69</v>
      </c>
      <c r="B70" s="12" t="s">
        <v>118</v>
      </c>
      <c r="C70" s="2">
        <v>1</v>
      </c>
      <c r="D70" s="12" t="s">
        <v>11</v>
      </c>
      <c r="E70" s="12" t="s">
        <v>112</v>
      </c>
      <c r="F70" s="2"/>
      <c r="G70" s="2"/>
      <c r="H70" s="6">
        <v>44623</v>
      </c>
      <c r="I70" s="11">
        <v>4168.1400000000003</v>
      </c>
      <c r="J70" s="2">
        <v>5</v>
      </c>
      <c r="K70" s="27">
        <v>0</v>
      </c>
      <c r="L70" s="2" t="s">
        <v>582</v>
      </c>
      <c r="M70" s="27">
        <f t="shared" si="2"/>
        <v>833.62800000000004</v>
      </c>
      <c r="N70" s="27">
        <f t="shared" si="7"/>
        <v>3334.5120000000002</v>
      </c>
      <c r="O70" s="9"/>
    </row>
    <row r="71" spans="1:15" x14ac:dyDescent="0.25">
      <c r="A71" s="3">
        <v>70</v>
      </c>
      <c r="B71" s="12" t="s">
        <v>119</v>
      </c>
      <c r="C71" s="2">
        <v>1</v>
      </c>
      <c r="D71" s="12" t="s">
        <v>11</v>
      </c>
      <c r="E71" s="12" t="s">
        <v>112</v>
      </c>
      <c r="F71" s="2"/>
      <c r="G71" s="2"/>
      <c r="H71" s="6">
        <v>44707</v>
      </c>
      <c r="I71" s="11">
        <v>3790</v>
      </c>
      <c r="J71" s="2">
        <v>5</v>
      </c>
      <c r="K71" s="27">
        <v>0</v>
      </c>
      <c r="L71" s="2" t="s">
        <v>582</v>
      </c>
      <c r="M71" s="27">
        <f t="shared" si="2"/>
        <v>758</v>
      </c>
      <c r="N71" s="27">
        <f t="shared" si="7"/>
        <v>3032</v>
      </c>
      <c r="O71" s="9"/>
    </row>
    <row r="72" spans="1:15" x14ac:dyDescent="0.25">
      <c r="A72" s="3">
        <v>71</v>
      </c>
      <c r="B72" s="12" t="s">
        <v>119</v>
      </c>
      <c r="C72" s="2">
        <v>1</v>
      </c>
      <c r="D72" s="12" t="s">
        <v>11</v>
      </c>
      <c r="E72" s="12" t="s">
        <v>112</v>
      </c>
      <c r="F72" s="2"/>
      <c r="G72" s="2"/>
      <c r="H72" s="6">
        <v>44707</v>
      </c>
      <c r="I72" s="11">
        <v>3790</v>
      </c>
      <c r="J72" s="2">
        <v>5</v>
      </c>
      <c r="K72" s="27">
        <v>0</v>
      </c>
      <c r="L72" s="2" t="s">
        <v>582</v>
      </c>
      <c r="M72" s="27">
        <f t="shared" si="2"/>
        <v>758</v>
      </c>
      <c r="N72" s="27">
        <f t="shared" si="7"/>
        <v>3032</v>
      </c>
      <c r="O72" s="9"/>
    </row>
    <row r="73" spans="1:15" x14ac:dyDescent="0.25">
      <c r="A73" s="3">
        <v>72</v>
      </c>
      <c r="B73" s="12" t="s">
        <v>120</v>
      </c>
      <c r="C73" s="2">
        <v>1</v>
      </c>
      <c r="D73" s="12" t="s">
        <v>11</v>
      </c>
      <c r="E73" s="12" t="s">
        <v>112</v>
      </c>
      <c r="F73" s="2"/>
      <c r="G73" s="2"/>
      <c r="H73" s="6">
        <v>44728</v>
      </c>
      <c r="I73" s="11">
        <v>1498.92</v>
      </c>
      <c r="J73" s="2">
        <v>5</v>
      </c>
      <c r="K73" s="27">
        <v>0</v>
      </c>
      <c r="L73" s="2" t="s">
        <v>582</v>
      </c>
      <c r="M73" s="27">
        <f t="shared" si="2"/>
        <v>299.78399999999999</v>
      </c>
      <c r="N73" s="27">
        <f t="shared" si="7"/>
        <v>1199.136</v>
      </c>
      <c r="O73" s="9"/>
    </row>
    <row r="74" spans="1:15" x14ac:dyDescent="0.25">
      <c r="A74" s="3">
        <v>73</v>
      </c>
      <c r="B74" s="12" t="s">
        <v>121</v>
      </c>
      <c r="C74" s="2">
        <v>1</v>
      </c>
      <c r="D74" s="12" t="s">
        <v>11</v>
      </c>
      <c r="E74" s="12" t="s">
        <v>122</v>
      </c>
      <c r="F74" s="2"/>
      <c r="G74" s="2"/>
      <c r="H74" s="6">
        <v>44474</v>
      </c>
      <c r="I74" s="11">
        <v>1929</v>
      </c>
      <c r="J74" s="2">
        <v>10</v>
      </c>
      <c r="K74" s="27">
        <v>0</v>
      </c>
      <c r="L74" s="2" t="s">
        <v>582</v>
      </c>
      <c r="M74" s="27">
        <f t="shared" ref="M74:M85" si="8">(I74-K74)/J74</f>
        <v>192.9</v>
      </c>
      <c r="N74" s="27">
        <f t="shared" si="7"/>
        <v>1736.1</v>
      </c>
      <c r="O74" s="9"/>
    </row>
    <row r="75" spans="1:15" ht="45" x14ac:dyDescent="0.25">
      <c r="A75" s="3">
        <v>74</v>
      </c>
      <c r="B75" s="12" t="s">
        <v>124</v>
      </c>
      <c r="C75" s="2">
        <v>1</v>
      </c>
      <c r="D75" s="12" t="s">
        <v>11</v>
      </c>
      <c r="E75" s="12" t="s">
        <v>125</v>
      </c>
      <c r="F75" s="2"/>
      <c r="G75" s="2"/>
      <c r="H75" s="6">
        <v>44463</v>
      </c>
      <c r="I75" s="11">
        <v>1395</v>
      </c>
      <c r="J75" s="2">
        <v>5</v>
      </c>
      <c r="K75" s="27">
        <f>I75*0.1</f>
        <v>139.5</v>
      </c>
      <c r="L75" s="2" t="s">
        <v>582</v>
      </c>
      <c r="M75" s="27">
        <f t="shared" si="8"/>
        <v>251.1</v>
      </c>
      <c r="N75" s="27">
        <f t="shared" si="7"/>
        <v>1143.9000000000001</v>
      </c>
      <c r="O75" s="9"/>
    </row>
    <row r="76" spans="1:15" ht="45" x14ac:dyDescent="0.25">
      <c r="A76" s="3">
        <v>75</v>
      </c>
      <c r="B76" s="12" t="s">
        <v>126</v>
      </c>
      <c r="C76" s="2">
        <v>2</v>
      </c>
      <c r="D76" s="12" t="s">
        <v>11</v>
      </c>
      <c r="E76" s="12" t="s">
        <v>125</v>
      </c>
      <c r="F76" s="2"/>
      <c r="G76" s="2"/>
      <c r="H76" s="6">
        <v>44482</v>
      </c>
      <c r="I76" s="11">
        <v>4310</v>
      </c>
      <c r="J76" s="2">
        <v>5</v>
      </c>
      <c r="K76" s="27">
        <f t="shared" ref="K76:K78" si="9">I76*0.1</f>
        <v>431</v>
      </c>
      <c r="L76" s="2" t="s">
        <v>582</v>
      </c>
      <c r="M76" s="27">
        <f t="shared" si="8"/>
        <v>775.8</v>
      </c>
      <c r="N76" s="27">
        <f t="shared" si="7"/>
        <v>3534.2</v>
      </c>
      <c r="O76" s="9" t="s">
        <v>590</v>
      </c>
    </row>
    <row r="77" spans="1:15" ht="30" x14ac:dyDescent="0.25">
      <c r="A77" s="3">
        <v>76</v>
      </c>
      <c r="B77" s="12" t="s">
        <v>127</v>
      </c>
      <c r="C77" s="2">
        <v>2</v>
      </c>
      <c r="D77" s="12" t="s">
        <v>11</v>
      </c>
      <c r="E77" s="12" t="s">
        <v>125</v>
      </c>
      <c r="F77" s="2"/>
      <c r="G77" s="2"/>
      <c r="H77" s="6">
        <v>44515</v>
      </c>
      <c r="I77" s="11">
        <v>3010</v>
      </c>
      <c r="J77" s="2">
        <v>5</v>
      </c>
      <c r="K77" s="27">
        <f t="shared" si="9"/>
        <v>301</v>
      </c>
      <c r="L77" s="2" t="s">
        <v>582</v>
      </c>
      <c r="M77" s="27">
        <f t="shared" si="8"/>
        <v>541.79999999999995</v>
      </c>
      <c r="N77" s="27">
        <f t="shared" si="7"/>
        <v>2468.1999999999998</v>
      </c>
      <c r="O77" s="9" t="s">
        <v>591</v>
      </c>
    </row>
    <row r="78" spans="1:15" ht="45" x14ac:dyDescent="0.25">
      <c r="A78" s="3">
        <v>77</v>
      </c>
      <c r="B78" s="12" t="s">
        <v>128</v>
      </c>
      <c r="C78" s="2">
        <v>1</v>
      </c>
      <c r="D78" s="12" t="s">
        <v>11</v>
      </c>
      <c r="E78" s="12" t="s">
        <v>125</v>
      </c>
      <c r="F78" s="2"/>
      <c r="G78" s="2"/>
      <c r="H78" s="6">
        <v>44699</v>
      </c>
      <c r="I78" s="11">
        <v>6628</v>
      </c>
      <c r="J78" s="2">
        <v>5</v>
      </c>
      <c r="K78" s="27">
        <f t="shared" si="9"/>
        <v>662.80000000000007</v>
      </c>
      <c r="L78" s="2" t="s">
        <v>582</v>
      </c>
      <c r="M78" s="27">
        <f t="shared" si="8"/>
        <v>1193.04</v>
      </c>
      <c r="N78" s="27">
        <f t="shared" si="7"/>
        <v>5434.96</v>
      </c>
      <c r="O78" s="9"/>
    </row>
    <row r="79" spans="1:15" ht="30" x14ac:dyDescent="0.25">
      <c r="A79" s="3">
        <v>81</v>
      </c>
      <c r="B79" s="12" t="s">
        <v>134</v>
      </c>
      <c r="C79" s="2">
        <v>1</v>
      </c>
      <c r="D79" s="12" t="s">
        <v>11</v>
      </c>
      <c r="E79" s="12" t="s">
        <v>135</v>
      </c>
      <c r="F79" s="2"/>
      <c r="G79" s="2"/>
      <c r="H79" s="6">
        <v>44362</v>
      </c>
      <c r="I79" s="11">
        <v>2351.88</v>
      </c>
      <c r="J79" s="2">
        <v>3</v>
      </c>
      <c r="K79" s="27">
        <v>0</v>
      </c>
      <c r="L79" s="2" t="s">
        <v>582</v>
      </c>
      <c r="M79" s="27">
        <f t="shared" si="8"/>
        <v>783.96</v>
      </c>
      <c r="N79" s="27">
        <f t="shared" si="7"/>
        <v>1567.92</v>
      </c>
      <c r="O79" s="9"/>
    </row>
    <row r="80" spans="1:15" ht="30" x14ac:dyDescent="0.25">
      <c r="A80" s="3">
        <v>82</v>
      </c>
      <c r="B80" s="12" t="s">
        <v>136</v>
      </c>
      <c r="C80" s="2">
        <v>1</v>
      </c>
      <c r="D80" s="12" t="s">
        <v>11</v>
      </c>
      <c r="E80" s="12" t="s">
        <v>135</v>
      </c>
      <c r="F80" s="2"/>
      <c r="G80" s="2"/>
      <c r="H80" s="6">
        <v>44362</v>
      </c>
      <c r="I80" s="11">
        <v>961.49</v>
      </c>
      <c r="J80" s="2">
        <v>3</v>
      </c>
      <c r="K80" s="27">
        <v>0</v>
      </c>
      <c r="L80" s="2" t="s">
        <v>582</v>
      </c>
      <c r="M80" s="27">
        <f t="shared" si="8"/>
        <v>320.49666666666667</v>
      </c>
      <c r="N80" s="27">
        <f t="shared" si="7"/>
        <v>640.99333333333334</v>
      </c>
      <c r="O80" s="9"/>
    </row>
    <row r="81" spans="1:15" ht="30" x14ac:dyDescent="0.25">
      <c r="A81" s="3">
        <v>83</v>
      </c>
      <c r="B81" s="12" t="s">
        <v>137</v>
      </c>
      <c r="C81" s="2">
        <v>1</v>
      </c>
      <c r="D81" s="12" t="s">
        <v>9</v>
      </c>
      <c r="E81" s="12" t="s">
        <v>135</v>
      </c>
      <c r="F81" s="2"/>
      <c r="G81" s="2"/>
      <c r="H81" s="6">
        <v>44379</v>
      </c>
      <c r="I81" s="11">
        <v>2952.28</v>
      </c>
      <c r="J81" s="2">
        <v>10</v>
      </c>
      <c r="K81" s="27">
        <f>I81*0.2</f>
        <v>590.45600000000002</v>
      </c>
      <c r="L81" s="2" t="s">
        <v>582</v>
      </c>
      <c r="M81" s="27">
        <f t="shared" si="8"/>
        <v>236.1824</v>
      </c>
      <c r="N81" s="27">
        <f t="shared" si="7"/>
        <v>2716.0976000000001</v>
      </c>
      <c r="O81" s="9"/>
    </row>
    <row r="82" spans="1:15" ht="30" x14ac:dyDescent="0.25">
      <c r="A82" s="3">
        <v>84</v>
      </c>
      <c r="B82" s="12" t="s">
        <v>138</v>
      </c>
      <c r="C82" s="2">
        <v>4</v>
      </c>
      <c r="D82" s="12" t="s">
        <v>11</v>
      </c>
      <c r="E82" s="12" t="s">
        <v>135</v>
      </c>
      <c r="F82" s="2"/>
      <c r="G82" s="2"/>
      <c r="H82" s="6">
        <v>44398</v>
      </c>
      <c r="I82" s="11">
        <v>2320</v>
      </c>
      <c r="J82" s="2">
        <v>5</v>
      </c>
      <c r="K82" s="27">
        <f t="shared" ref="K82:K85" si="10">I82*0.1</f>
        <v>232</v>
      </c>
      <c r="L82" s="2" t="s">
        <v>582</v>
      </c>
      <c r="M82" s="27">
        <f t="shared" si="8"/>
        <v>417.6</v>
      </c>
      <c r="N82" s="27">
        <f t="shared" si="7"/>
        <v>1902.4</v>
      </c>
      <c r="O82" s="9" t="s">
        <v>139</v>
      </c>
    </row>
    <row r="83" spans="1:15" ht="30" x14ac:dyDescent="0.25">
      <c r="A83" s="3">
        <v>85</v>
      </c>
      <c r="B83" s="12" t="s">
        <v>138</v>
      </c>
      <c r="C83" s="2">
        <v>4</v>
      </c>
      <c r="D83" s="12" t="s">
        <v>11</v>
      </c>
      <c r="E83" s="12" t="s">
        <v>135</v>
      </c>
      <c r="F83" s="2"/>
      <c r="G83" s="2"/>
      <c r="H83" s="6">
        <v>44484</v>
      </c>
      <c r="I83" s="11">
        <v>2320</v>
      </c>
      <c r="J83" s="2">
        <v>5</v>
      </c>
      <c r="K83" s="27">
        <f t="shared" si="10"/>
        <v>232</v>
      </c>
      <c r="L83" s="2" t="s">
        <v>582</v>
      </c>
      <c r="M83" s="27">
        <f t="shared" si="8"/>
        <v>417.6</v>
      </c>
      <c r="N83" s="27">
        <f t="shared" si="7"/>
        <v>1902.4</v>
      </c>
      <c r="O83" s="9" t="s">
        <v>139</v>
      </c>
    </row>
    <row r="84" spans="1:15" x14ac:dyDescent="0.25">
      <c r="A84" s="3">
        <v>88</v>
      </c>
      <c r="B84" s="12" t="s">
        <v>142</v>
      </c>
      <c r="C84" s="2">
        <v>10</v>
      </c>
      <c r="D84" s="12" t="s">
        <v>12</v>
      </c>
      <c r="E84" s="12" t="s">
        <v>143</v>
      </c>
      <c r="F84" s="2"/>
      <c r="G84" s="2"/>
      <c r="H84" s="6" t="s">
        <v>582</v>
      </c>
      <c r="I84" s="11">
        <v>93358.22</v>
      </c>
      <c r="J84" s="2">
        <v>10</v>
      </c>
      <c r="K84" s="27">
        <f t="shared" si="10"/>
        <v>9335.8220000000001</v>
      </c>
      <c r="L84" s="2" t="s">
        <v>582</v>
      </c>
      <c r="M84" s="27">
        <f t="shared" si="8"/>
        <v>8402.2397999999994</v>
      </c>
      <c r="N84" s="27">
        <f t="shared" si="7"/>
        <v>84955.980200000005</v>
      </c>
      <c r="O84" s="9" t="s">
        <v>144</v>
      </c>
    </row>
    <row r="85" spans="1:15" x14ac:dyDescent="0.25">
      <c r="A85" s="3">
        <v>89</v>
      </c>
      <c r="B85" s="12" t="s">
        <v>145</v>
      </c>
      <c r="C85" s="2">
        <v>8</v>
      </c>
      <c r="D85" s="12" t="s">
        <v>12</v>
      </c>
      <c r="E85" s="12" t="s">
        <v>143</v>
      </c>
      <c r="F85" s="2"/>
      <c r="G85" s="2"/>
      <c r="H85" s="6">
        <v>44715</v>
      </c>
      <c r="I85" s="11">
        <v>8030</v>
      </c>
      <c r="J85" s="2">
        <v>10</v>
      </c>
      <c r="K85" s="27">
        <f t="shared" si="10"/>
        <v>803</v>
      </c>
      <c r="L85" s="2" t="s">
        <v>582</v>
      </c>
      <c r="M85" s="27">
        <f t="shared" si="8"/>
        <v>722.7</v>
      </c>
      <c r="N85" s="27">
        <f t="shared" si="7"/>
        <v>7307.3</v>
      </c>
      <c r="O85" s="9" t="s">
        <v>144</v>
      </c>
    </row>
    <row r="86" spans="1:15" x14ac:dyDescent="0.25">
      <c r="A86" s="3">
        <v>90</v>
      </c>
      <c r="B86" s="12"/>
      <c r="C86" s="2"/>
      <c r="D86" s="12"/>
      <c r="E86" s="12"/>
      <c r="F86" s="2"/>
      <c r="G86" s="2"/>
      <c r="H86" s="6"/>
      <c r="I86" s="11"/>
      <c r="J86" s="2"/>
      <c r="K86" s="3"/>
      <c r="L86" s="2"/>
      <c r="M86" s="3"/>
      <c r="N86" s="3"/>
      <c r="O86" s="9"/>
    </row>
    <row r="87" spans="1:15" x14ac:dyDescent="0.25">
      <c r="A87" s="3">
        <v>91</v>
      </c>
      <c r="B87" s="12"/>
      <c r="C87" s="2"/>
      <c r="D87" s="12"/>
      <c r="E87" s="12"/>
      <c r="F87" s="2"/>
      <c r="G87" s="2"/>
      <c r="H87" s="6"/>
      <c r="I87" s="11"/>
      <c r="J87" s="2"/>
      <c r="K87" s="3"/>
      <c r="L87" s="2"/>
      <c r="M87" s="3"/>
      <c r="N87" s="3"/>
      <c r="O87" s="9"/>
    </row>
    <row r="88" spans="1:15" x14ac:dyDescent="0.25">
      <c r="A88" s="3">
        <v>92</v>
      </c>
      <c r="B88" s="12"/>
      <c r="C88" s="2"/>
      <c r="D88" s="12"/>
      <c r="E88" s="12"/>
      <c r="F88" s="2"/>
      <c r="G88" s="2"/>
      <c r="H88" s="6"/>
      <c r="I88" s="11"/>
      <c r="J88" s="2"/>
      <c r="K88" s="3"/>
      <c r="L88" s="2"/>
      <c r="M88" s="3"/>
      <c r="N88" s="3"/>
      <c r="O88" s="9"/>
    </row>
    <row r="89" spans="1:15" x14ac:dyDescent="0.25">
      <c r="A89" s="3">
        <v>93</v>
      </c>
      <c r="B89" s="12"/>
      <c r="C89" s="2"/>
      <c r="D89" s="12"/>
      <c r="E89" s="12"/>
      <c r="F89" s="2"/>
      <c r="G89" s="2"/>
      <c r="H89" s="6"/>
      <c r="I89" s="11"/>
      <c r="J89" s="2"/>
      <c r="K89" s="3"/>
      <c r="L89" s="2"/>
      <c r="M89" s="3"/>
      <c r="N89" s="3"/>
      <c r="O89" s="9"/>
    </row>
    <row r="90" spans="1:15" x14ac:dyDescent="0.25">
      <c r="A90" s="3">
        <v>94</v>
      </c>
      <c r="B90" s="12"/>
      <c r="C90" s="2"/>
      <c r="D90" s="12"/>
      <c r="E90" s="12"/>
      <c r="F90" s="2"/>
      <c r="G90" s="2"/>
      <c r="H90" s="6"/>
      <c r="I90" s="11"/>
      <c r="J90" s="2"/>
      <c r="K90" s="3"/>
      <c r="L90" s="2"/>
      <c r="M90" s="3"/>
      <c r="N90" s="3"/>
      <c r="O90" s="9"/>
    </row>
    <row r="91" spans="1:15" x14ac:dyDescent="0.25">
      <c r="A91" s="3">
        <v>95</v>
      </c>
      <c r="B91" s="12"/>
      <c r="C91" s="2"/>
      <c r="D91" s="12"/>
      <c r="E91" s="12"/>
      <c r="F91" s="2"/>
      <c r="G91" s="2"/>
      <c r="H91" s="6"/>
      <c r="I91" s="11"/>
      <c r="J91" s="2"/>
      <c r="K91" s="3"/>
      <c r="L91" s="2"/>
      <c r="M91" s="3"/>
      <c r="N91" s="3"/>
      <c r="O91" s="9"/>
    </row>
    <row r="92" spans="1:15" x14ac:dyDescent="0.25">
      <c r="A92" s="3">
        <v>96</v>
      </c>
      <c r="B92" s="12"/>
      <c r="C92" s="2"/>
      <c r="D92" s="12"/>
      <c r="E92" s="12"/>
      <c r="F92" s="2"/>
      <c r="G92" s="2"/>
      <c r="H92" s="6"/>
      <c r="I92" s="11"/>
      <c r="J92" s="2"/>
      <c r="K92" s="3"/>
      <c r="L92" s="2"/>
      <c r="M92" s="3"/>
      <c r="N92" s="3"/>
      <c r="O92" s="9"/>
    </row>
    <row r="93" spans="1:15" x14ac:dyDescent="0.25">
      <c r="A93" s="3">
        <v>97</v>
      </c>
      <c r="B93" s="12"/>
      <c r="C93" s="2"/>
      <c r="D93" s="12"/>
      <c r="E93" s="12"/>
      <c r="F93" s="2"/>
      <c r="G93" s="2"/>
      <c r="H93" s="6"/>
      <c r="I93" s="11"/>
      <c r="J93" s="2"/>
      <c r="K93" s="3"/>
      <c r="L93" s="2"/>
      <c r="M93" s="3"/>
      <c r="N93" s="3"/>
      <c r="O93" s="9"/>
    </row>
    <row r="94" spans="1:15" x14ac:dyDescent="0.25">
      <c r="A94" s="3">
        <v>98</v>
      </c>
      <c r="B94" s="12"/>
      <c r="C94" s="2"/>
      <c r="D94" s="12"/>
      <c r="E94" s="12"/>
      <c r="F94" s="2"/>
      <c r="G94" s="2"/>
      <c r="H94" s="6"/>
      <c r="I94" s="11"/>
      <c r="J94" s="2"/>
      <c r="K94" s="3"/>
      <c r="L94" s="2"/>
      <c r="M94" s="3"/>
      <c r="N94" s="3"/>
      <c r="O94" s="9"/>
    </row>
    <row r="95" spans="1:15" x14ac:dyDescent="0.25">
      <c r="A95" s="3">
        <v>99</v>
      </c>
      <c r="B95" s="12"/>
      <c r="C95" s="2"/>
      <c r="D95" s="12"/>
      <c r="E95" s="12"/>
      <c r="F95" s="2"/>
      <c r="G95" s="2"/>
      <c r="H95" s="6"/>
      <c r="I95" s="11"/>
      <c r="J95" s="2"/>
      <c r="K95" s="3"/>
      <c r="L95" s="2"/>
      <c r="M95" s="3"/>
      <c r="N95" s="3"/>
      <c r="O95" s="9"/>
    </row>
    <row r="96" spans="1:15" x14ac:dyDescent="0.25">
      <c r="A96" s="3">
        <v>100</v>
      </c>
      <c r="B96" s="12"/>
      <c r="C96" s="2"/>
      <c r="D96" s="12"/>
      <c r="E96" s="12"/>
      <c r="F96" s="2"/>
      <c r="G96" s="2"/>
      <c r="H96" s="6"/>
      <c r="I96" s="11"/>
      <c r="J96" s="2"/>
      <c r="K96" s="3"/>
      <c r="L96" s="2"/>
      <c r="M96" s="3"/>
      <c r="N96" s="3"/>
      <c r="O96" s="9"/>
    </row>
    <row r="97" spans="1:15" x14ac:dyDescent="0.25">
      <c r="A97" s="3">
        <v>101</v>
      </c>
      <c r="B97" s="12"/>
      <c r="C97" s="2"/>
      <c r="D97" s="12"/>
      <c r="E97" s="12"/>
      <c r="F97" s="2"/>
      <c r="G97" s="2"/>
      <c r="H97" s="6"/>
      <c r="I97" s="11"/>
      <c r="J97" s="2"/>
      <c r="K97" s="3"/>
      <c r="L97" s="2"/>
      <c r="M97" s="3"/>
      <c r="N97" s="3"/>
      <c r="O97" s="9"/>
    </row>
    <row r="98" spans="1:15" x14ac:dyDescent="0.25">
      <c r="A98" s="3">
        <v>102</v>
      </c>
      <c r="B98" s="12"/>
      <c r="C98" s="2"/>
      <c r="D98" s="12"/>
      <c r="E98" s="12"/>
      <c r="F98" s="2"/>
      <c r="G98" s="2"/>
      <c r="H98" s="6"/>
      <c r="I98" s="11"/>
      <c r="J98" s="2"/>
      <c r="K98" s="3"/>
      <c r="L98" s="2"/>
      <c r="M98" s="3"/>
      <c r="N98" s="3"/>
      <c r="O98" s="9"/>
    </row>
    <row r="99" spans="1:15" x14ac:dyDescent="0.25">
      <c r="A99" s="3">
        <v>103</v>
      </c>
      <c r="B99" s="12"/>
      <c r="C99" s="2"/>
      <c r="D99" s="12"/>
      <c r="E99" s="12"/>
      <c r="F99" s="2"/>
      <c r="G99" s="2"/>
      <c r="H99" s="6"/>
      <c r="I99" s="11"/>
      <c r="J99" s="2"/>
      <c r="K99" s="3"/>
      <c r="L99" s="2"/>
      <c r="M99" s="3"/>
      <c r="N99" s="3"/>
      <c r="O99" s="9"/>
    </row>
    <row r="100" spans="1:15" x14ac:dyDescent="0.25">
      <c r="A100" s="3">
        <v>104</v>
      </c>
      <c r="B100" s="12"/>
      <c r="C100" s="2"/>
      <c r="D100" s="12"/>
      <c r="E100" s="12"/>
      <c r="F100" s="2"/>
      <c r="G100" s="2"/>
      <c r="H100" s="6"/>
      <c r="I100" s="11"/>
      <c r="J100" s="2"/>
      <c r="K100" s="3"/>
      <c r="L100" s="2"/>
      <c r="M100" s="3"/>
      <c r="N100" s="3"/>
      <c r="O100" s="9"/>
    </row>
    <row r="101" spans="1:15" x14ac:dyDescent="0.25">
      <c r="A101" s="3">
        <v>105</v>
      </c>
      <c r="B101" s="12"/>
      <c r="C101" s="2"/>
      <c r="D101" s="12"/>
      <c r="E101" s="12"/>
      <c r="F101" s="2"/>
      <c r="G101" s="2"/>
      <c r="H101" s="6"/>
      <c r="I101" s="11"/>
      <c r="J101" s="2"/>
      <c r="K101" s="3"/>
      <c r="L101" s="2"/>
      <c r="M101" s="3"/>
      <c r="N101" s="3"/>
      <c r="O101" s="9"/>
    </row>
    <row r="102" spans="1:15" x14ac:dyDescent="0.25">
      <c r="A102" s="3">
        <v>106</v>
      </c>
      <c r="B102" s="12"/>
      <c r="C102" s="2"/>
      <c r="D102" s="12"/>
      <c r="E102" s="12"/>
      <c r="F102" s="2"/>
      <c r="G102" s="2"/>
      <c r="H102" s="6"/>
      <c r="I102" s="11"/>
      <c r="J102" s="2"/>
      <c r="K102" s="3"/>
      <c r="L102" s="2"/>
      <c r="M102" s="3"/>
      <c r="N102" s="3"/>
      <c r="O102" s="9"/>
    </row>
    <row r="103" spans="1:15" x14ac:dyDescent="0.25">
      <c r="A103" s="3">
        <v>107</v>
      </c>
      <c r="B103" s="12"/>
      <c r="C103" s="2"/>
      <c r="D103" s="12"/>
      <c r="E103" s="12"/>
      <c r="F103" s="2"/>
      <c r="G103" s="2"/>
      <c r="H103" s="6"/>
      <c r="I103" s="11"/>
      <c r="J103" s="2"/>
      <c r="K103" s="3"/>
      <c r="L103" s="2"/>
      <c r="M103" s="3"/>
      <c r="N103" s="3"/>
      <c r="O103" s="9"/>
    </row>
    <row r="104" spans="1:15" x14ac:dyDescent="0.25">
      <c r="A104" s="3">
        <v>108</v>
      </c>
      <c r="B104" s="12"/>
      <c r="C104" s="2"/>
      <c r="D104" s="12"/>
      <c r="E104" s="12"/>
      <c r="F104" s="2"/>
      <c r="G104" s="2"/>
      <c r="H104" s="6"/>
      <c r="I104" s="11"/>
      <c r="J104" s="2"/>
      <c r="K104" s="3"/>
      <c r="L104" s="2"/>
      <c r="M104" s="3"/>
      <c r="N104" s="3"/>
      <c r="O104" s="9"/>
    </row>
    <row r="105" spans="1:15" x14ac:dyDescent="0.25">
      <c r="A105" s="3">
        <v>109</v>
      </c>
      <c r="B105" s="12"/>
      <c r="C105" s="2"/>
      <c r="D105" s="12"/>
      <c r="E105" s="12"/>
      <c r="F105" s="2"/>
      <c r="G105" s="2"/>
      <c r="H105" s="6"/>
      <c r="I105" s="11"/>
      <c r="J105" s="2"/>
      <c r="K105" s="3"/>
      <c r="L105" s="2"/>
      <c r="M105" s="3"/>
      <c r="N105" s="3"/>
      <c r="O105" s="9"/>
    </row>
    <row r="106" spans="1:15" x14ac:dyDescent="0.25">
      <c r="A106" s="3">
        <v>110</v>
      </c>
      <c r="B106" s="12"/>
      <c r="C106" s="2"/>
      <c r="D106" s="12"/>
      <c r="E106" s="12"/>
      <c r="F106" s="2"/>
      <c r="G106" s="2"/>
      <c r="H106" s="6"/>
      <c r="I106" s="11"/>
      <c r="J106" s="2"/>
      <c r="K106" s="3"/>
      <c r="L106" s="2"/>
      <c r="M106" s="3"/>
      <c r="N106" s="3"/>
      <c r="O106" s="9"/>
    </row>
    <row r="107" spans="1:15" x14ac:dyDescent="0.25">
      <c r="A107" s="3">
        <v>111</v>
      </c>
      <c r="B107" s="12"/>
      <c r="C107" s="2"/>
      <c r="D107" s="12"/>
      <c r="E107" s="12"/>
      <c r="F107" s="2"/>
      <c r="G107" s="2"/>
      <c r="H107" s="6"/>
      <c r="I107" s="11"/>
      <c r="J107" s="2"/>
      <c r="K107" s="3"/>
      <c r="L107" s="2"/>
      <c r="M107" s="3"/>
      <c r="N107" s="3"/>
      <c r="O107" s="9"/>
    </row>
    <row r="108" spans="1:15" x14ac:dyDescent="0.25">
      <c r="A108" s="3">
        <v>112</v>
      </c>
      <c r="B108" s="12"/>
      <c r="C108" s="2"/>
      <c r="D108" s="12"/>
      <c r="E108" s="12"/>
      <c r="F108" s="2"/>
      <c r="G108" s="2"/>
      <c r="H108" s="6"/>
      <c r="I108" s="11"/>
      <c r="J108" s="2"/>
      <c r="K108" s="3"/>
      <c r="L108" s="2"/>
      <c r="M108" s="3"/>
      <c r="N108" s="3"/>
      <c r="O108" s="9"/>
    </row>
    <row r="109" spans="1:15" x14ac:dyDescent="0.25">
      <c r="A109" s="3">
        <v>113</v>
      </c>
      <c r="B109" s="12"/>
      <c r="C109" s="2"/>
      <c r="D109" s="12"/>
      <c r="E109" s="12"/>
      <c r="F109" s="2"/>
      <c r="G109" s="2"/>
      <c r="H109" s="6"/>
      <c r="I109" s="11"/>
      <c r="J109" s="2"/>
      <c r="K109" s="3"/>
      <c r="L109" s="2"/>
      <c r="M109" s="3"/>
      <c r="N109" s="3"/>
      <c r="O109" s="9"/>
    </row>
    <row r="110" spans="1:15" x14ac:dyDescent="0.25">
      <c r="A110" s="3">
        <v>114</v>
      </c>
      <c r="B110" s="12"/>
      <c r="C110" s="2"/>
      <c r="D110" s="12"/>
      <c r="E110" s="12"/>
      <c r="F110" s="2"/>
      <c r="G110" s="2"/>
      <c r="H110" s="6"/>
      <c r="I110" s="11"/>
      <c r="J110" s="2"/>
      <c r="K110" s="3"/>
      <c r="L110" s="2"/>
      <c r="M110" s="3"/>
      <c r="N110" s="3"/>
      <c r="O110" s="9"/>
    </row>
    <row r="111" spans="1:15" x14ac:dyDescent="0.25">
      <c r="A111" s="3">
        <v>115</v>
      </c>
      <c r="B111" s="12"/>
      <c r="C111" s="2"/>
      <c r="D111" s="12"/>
      <c r="E111" s="12"/>
      <c r="F111" s="2"/>
      <c r="G111" s="2"/>
      <c r="H111" s="6"/>
      <c r="I111" s="11"/>
      <c r="J111" s="2"/>
      <c r="K111" s="3"/>
      <c r="L111" s="2"/>
      <c r="M111" s="3"/>
      <c r="N111" s="3"/>
      <c r="O111" s="9"/>
    </row>
    <row r="112" spans="1:15" x14ac:dyDescent="0.25">
      <c r="A112" s="3">
        <v>116</v>
      </c>
      <c r="B112" s="12"/>
      <c r="C112" s="2"/>
      <c r="D112" s="12"/>
      <c r="E112" s="12"/>
      <c r="F112" s="2"/>
      <c r="G112" s="2"/>
      <c r="H112" s="6"/>
      <c r="I112" s="11"/>
      <c r="J112" s="2"/>
      <c r="K112" s="3"/>
      <c r="L112" s="2"/>
      <c r="M112" s="3"/>
      <c r="N112" s="3"/>
      <c r="O112" s="9"/>
    </row>
    <row r="113" spans="1:15" x14ac:dyDescent="0.25">
      <c r="A113" s="3">
        <v>117</v>
      </c>
      <c r="B113" s="12"/>
      <c r="C113" s="2"/>
      <c r="D113" s="12"/>
      <c r="E113" s="12"/>
      <c r="F113" s="2"/>
      <c r="G113" s="2"/>
      <c r="H113" s="6"/>
      <c r="I113" s="11"/>
      <c r="J113" s="2"/>
      <c r="K113" s="3"/>
      <c r="L113" s="2"/>
      <c r="M113" s="3"/>
      <c r="N113" s="3"/>
      <c r="O113" s="9"/>
    </row>
    <row r="114" spans="1:15" x14ac:dyDescent="0.25">
      <c r="A114" s="3">
        <v>118</v>
      </c>
      <c r="B114" s="12"/>
      <c r="C114" s="2"/>
      <c r="D114" s="12"/>
      <c r="E114" s="12"/>
      <c r="F114" s="2"/>
      <c r="G114" s="2"/>
      <c r="H114" s="6"/>
      <c r="I114" s="11"/>
      <c r="J114" s="2"/>
      <c r="K114" s="3"/>
      <c r="L114" s="2"/>
      <c r="M114" s="3"/>
      <c r="N114" s="3"/>
      <c r="O114" s="9"/>
    </row>
    <row r="115" spans="1:15" x14ac:dyDescent="0.25">
      <c r="A115" s="3">
        <v>119</v>
      </c>
      <c r="B115" s="12"/>
      <c r="C115" s="2"/>
      <c r="D115" s="12"/>
      <c r="E115" s="12"/>
      <c r="F115" s="2"/>
      <c r="G115" s="2"/>
      <c r="H115" s="6"/>
      <c r="I115" s="11"/>
      <c r="J115" s="2"/>
      <c r="K115" s="3"/>
      <c r="L115" s="2"/>
      <c r="M115" s="3"/>
      <c r="N115" s="3"/>
      <c r="O115" s="9"/>
    </row>
    <row r="116" spans="1:15" x14ac:dyDescent="0.25">
      <c r="A116" s="3">
        <v>120</v>
      </c>
      <c r="B116" s="12"/>
      <c r="C116" s="2"/>
      <c r="D116" s="12"/>
      <c r="E116" s="12"/>
      <c r="F116" s="2"/>
      <c r="G116" s="2"/>
      <c r="H116" s="6"/>
      <c r="I116" s="11"/>
      <c r="J116" s="2"/>
      <c r="K116" s="3"/>
      <c r="L116" s="2"/>
      <c r="M116" s="3"/>
      <c r="N116" s="3"/>
      <c r="O116" s="9"/>
    </row>
    <row r="117" spans="1:15" x14ac:dyDescent="0.25">
      <c r="A117" s="3">
        <v>121</v>
      </c>
      <c r="B117" s="12"/>
      <c r="C117" s="2"/>
      <c r="D117" s="12"/>
      <c r="E117" s="12"/>
      <c r="F117" s="2"/>
      <c r="G117" s="2"/>
      <c r="H117" s="6"/>
      <c r="I117" s="11"/>
      <c r="J117" s="2"/>
      <c r="K117" s="3"/>
      <c r="L117" s="2"/>
      <c r="M117" s="3"/>
      <c r="N117" s="3"/>
      <c r="O117" s="9"/>
    </row>
    <row r="118" spans="1:15" x14ac:dyDescent="0.25">
      <c r="A118" s="3">
        <v>122</v>
      </c>
      <c r="B118" s="12"/>
      <c r="C118" s="2"/>
      <c r="D118" s="12"/>
      <c r="E118" s="12"/>
      <c r="F118" s="2"/>
      <c r="G118" s="2"/>
      <c r="H118" s="6"/>
      <c r="I118" s="11"/>
      <c r="J118" s="2"/>
      <c r="K118" s="3"/>
      <c r="L118" s="2"/>
      <c r="M118" s="3"/>
      <c r="N118" s="3"/>
      <c r="O118" s="9"/>
    </row>
    <row r="119" spans="1:15" x14ac:dyDescent="0.25">
      <c r="A119" s="3">
        <v>123</v>
      </c>
      <c r="B119" s="12"/>
      <c r="C119" s="2"/>
      <c r="D119" s="12"/>
      <c r="E119" s="12"/>
      <c r="F119" s="2"/>
      <c r="G119" s="2"/>
      <c r="H119" s="6"/>
      <c r="I119" s="11"/>
      <c r="J119" s="2"/>
      <c r="K119" s="3"/>
      <c r="L119" s="2"/>
      <c r="M119" s="3"/>
      <c r="N119" s="3"/>
      <c r="O119" s="9"/>
    </row>
    <row r="120" spans="1:15" x14ac:dyDescent="0.25">
      <c r="A120" s="3">
        <v>124</v>
      </c>
      <c r="B120" s="12"/>
      <c r="C120" s="2"/>
      <c r="D120" s="12"/>
      <c r="E120" s="12"/>
      <c r="F120" s="2"/>
      <c r="G120" s="2"/>
      <c r="H120" s="6"/>
      <c r="I120" s="11"/>
      <c r="J120" s="2"/>
      <c r="K120" s="3"/>
      <c r="L120" s="2"/>
      <c r="M120" s="3"/>
      <c r="N120" s="3"/>
      <c r="O120" s="9"/>
    </row>
    <row r="121" spans="1:15" x14ac:dyDescent="0.25">
      <c r="A121" s="3">
        <v>125</v>
      </c>
      <c r="B121" s="12"/>
      <c r="C121" s="2"/>
      <c r="D121" s="12"/>
      <c r="E121" s="12"/>
      <c r="F121" s="2"/>
      <c r="G121" s="2"/>
      <c r="H121" s="6"/>
      <c r="I121" s="11"/>
      <c r="J121" s="2"/>
      <c r="K121" s="3"/>
      <c r="L121" s="2"/>
      <c r="M121" s="3"/>
      <c r="N121" s="3"/>
      <c r="O121" s="9"/>
    </row>
    <row r="122" spans="1:15" x14ac:dyDescent="0.25">
      <c r="B122" s="15" t="s">
        <v>592</v>
      </c>
      <c r="C122" s="15">
        <f>SUM(C7:C121)</f>
        <v>709</v>
      </c>
      <c r="D122" s="16"/>
      <c r="E122" s="15"/>
      <c r="F122" s="15"/>
      <c r="G122" s="15"/>
      <c r="H122" s="17"/>
      <c r="I122" s="18">
        <f>SUM(I7:I121)</f>
        <v>834014.04000000015</v>
      </c>
      <c r="J122" s="15"/>
      <c r="K122" s="19">
        <f t="shared" ref="K122:N122" si="11">SUM(K7:K121)</f>
        <v>85465.566000000006</v>
      </c>
      <c r="L122" s="19">
        <f t="shared" si="11"/>
        <v>0</v>
      </c>
      <c r="M122" s="28">
        <f>SUM(M7:M121)</f>
        <v>132435.67464761907</v>
      </c>
      <c r="N122" s="19">
        <f t="shared" si="11"/>
        <v>701578.3653523809</v>
      </c>
      <c r="O122" s="9"/>
    </row>
  </sheetData>
  <autoFilter ref="A6:O122" xr:uid="{EC13C426-D415-4EB4-93E3-54008A83702D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07042E-C09E-4CFC-BAC4-2AEC47384F3F}">
          <x14:formula1>
            <xm:f>'Validation Data'!$A$3:$A$8</xm:f>
          </x14:formula1>
          <xm:sqref>D7:D1048576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3A8A-2DF8-4229-A2EB-F0C9C6D65E43}">
  <dimension ref="A3:A8"/>
  <sheetViews>
    <sheetView workbookViewId="0">
      <selection activeCell="F38" sqref="F38"/>
    </sheetView>
  </sheetViews>
  <sheetFormatPr defaultRowHeight="15" x14ac:dyDescent="0.25"/>
  <sheetData>
    <row r="3" spans="1:1" x14ac:dyDescent="0.25">
      <c r="A3" t="s">
        <v>7</v>
      </c>
    </row>
    <row r="4" spans="1:1" x14ac:dyDescent="0.25">
      <c r="A4" t="s">
        <v>9</v>
      </c>
    </row>
    <row r="5" spans="1:1" x14ac:dyDescent="0.25">
      <c r="A5" t="s">
        <v>8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1F5E-B74B-4877-83C9-DCD739389056}">
  <dimension ref="A2:G33"/>
  <sheetViews>
    <sheetView workbookViewId="0">
      <selection activeCell="A30" sqref="A30"/>
    </sheetView>
  </sheetViews>
  <sheetFormatPr defaultRowHeight="15" x14ac:dyDescent="0.25"/>
  <cols>
    <col min="1" max="1" width="34.5703125" customWidth="1"/>
    <col min="2" max="2" width="10.7109375" style="22" bestFit="1" customWidth="1"/>
    <col min="6" max="6" width="34.28515625" customWidth="1"/>
    <col min="7" max="7" width="9.140625" style="22"/>
  </cols>
  <sheetData>
    <row r="2" spans="1:7" x14ac:dyDescent="0.25">
      <c r="A2" s="25" t="s">
        <v>593</v>
      </c>
      <c r="F2" s="1" t="s">
        <v>594</v>
      </c>
    </row>
    <row r="3" spans="1:7" x14ac:dyDescent="0.25">
      <c r="A3" s="1" t="s">
        <v>595</v>
      </c>
      <c r="F3" t="s">
        <v>596</v>
      </c>
    </row>
    <row r="4" spans="1:7" x14ac:dyDescent="0.25">
      <c r="A4" t="s">
        <v>597</v>
      </c>
      <c r="B4" s="22">
        <v>6390.6</v>
      </c>
      <c r="F4" t="s">
        <v>598</v>
      </c>
      <c r="G4" s="22">
        <v>4030</v>
      </c>
    </row>
    <row r="5" spans="1:7" x14ac:dyDescent="0.25">
      <c r="B5" s="22">
        <v>3286</v>
      </c>
      <c r="F5" t="s">
        <v>599</v>
      </c>
      <c r="G5" s="22">
        <v>4000</v>
      </c>
    </row>
    <row r="6" spans="1:7" x14ac:dyDescent="0.25">
      <c r="B6" s="22">
        <v>2412.48</v>
      </c>
      <c r="F6" s="1" t="s">
        <v>600</v>
      </c>
      <c r="G6" s="26">
        <f>SUM(G4:G5)</f>
        <v>8030</v>
      </c>
    </row>
    <row r="7" spans="1:7" x14ac:dyDescent="0.25">
      <c r="B7" s="22">
        <v>410.75</v>
      </c>
      <c r="F7" t="s">
        <v>601</v>
      </c>
      <c r="G7" s="22">
        <f>G6/8</f>
        <v>1003.75</v>
      </c>
    </row>
    <row r="8" spans="1:7" x14ac:dyDescent="0.25">
      <c r="A8" t="s">
        <v>602</v>
      </c>
      <c r="B8" s="22">
        <v>2415.6</v>
      </c>
    </row>
    <row r="9" spans="1:7" x14ac:dyDescent="0.25">
      <c r="B9" s="22">
        <v>3512.56</v>
      </c>
    </row>
    <row r="10" spans="1:7" x14ac:dyDescent="0.25">
      <c r="A10" t="s">
        <v>603</v>
      </c>
      <c r="B10" s="22">
        <v>1485.88</v>
      </c>
    </row>
    <row r="11" spans="1:7" x14ac:dyDescent="0.25">
      <c r="A11" s="24" t="s">
        <v>604</v>
      </c>
      <c r="B11" s="22">
        <v>2133.8000000000002</v>
      </c>
    </row>
    <row r="12" spans="1:7" x14ac:dyDescent="0.25">
      <c r="B12" s="22">
        <v>1575.88</v>
      </c>
    </row>
    <row r="13" spans="1:7" x14ac:dyDescent="0.25">
      <c r="A13" s="24" t="s">
        <v>605</v>
      </c>
      <c r="B13" s="22">
        <v>4267.6000000000004</v>
      </c>
    </row>
    <row r="14" spans="1:7" x14ac:dyDescent="0.25">
      <c r="B14" s="22">
        <v>2757.79</v>
      </c>
    </row>
    <row r="15" spans="1:7" x14ac:dyDescent="0.25">
      <c r="A15" s="24" t="s">
        <v>606</v>
      </c>
      <c r="B15" s="22">
        <v>2971.76</v>
      </c>
    </row>
    <row r="16" spans="1:7" x14ac:dyDescent="0.25">
      <c r="A16" t="s">
        <v>607</v>
      </c>
      <c r="B16" s="22">
        <v>2347.1799999999998</v>
      </c>
    </row>
    <row r="17" spans="1:2" x14ac:dyDescent="0.25">
      <c r="A17" s="24" t="s">
        <v>608</v>
      </c>
      <c r="B17" s="22">
        <v>5478.68</v>
      </c>
    </row>
    <row r="18" spans="1:2" x14ac:dyDescent="0.25">
      <c r="B18" s="22">
        <v>3123.6</v>
      </c>
    </row>
    <row r="19" spans="1:2" x14ac:dyDescent="0.25">
      <c r="A19" t="s">
        <v>609</v>
      </c>
      <c r="B19" s="22">
        <v>3692</v>
      </c>
    </row>
    <row r="20" spans="1:2" x14ac:dyDescent="0.25">
      <c r="A20" t="s">
        <v>610</v>
      </c>
      <c r="B20" s="22">
        <v>1819.6</v>
      </c>
    </row>
    <row r="21" spans="1:2" x14ac:dyDescent="0.25">
      <c r="A21" t="s">
        <v>611</v>
      </c>
      <c r="B21" s="22">
        <v>1141.3</v>
      </c>
    </row>
    <row r="22" spans="1:2" x14ac:dyDescent="0.25">
      <c r="A22" t="s">
        <v>612</v>
      </c>
      <c r="B22" s="22">
        <v>5478.68</v>
      </c>
    </row>
    <row r="23" spans="1:2" x14ac:dyDescent="0.25">
      <c r="A23" t="s">
        <v>613</v>
      </c>
      <c r="B23" s="22">
        <v>2817.28</v>
      </c>
    </row>
    <row r="24" spans="1:2" x14ac:dyDescent="0.25">
      <c r="A24" t="s">
        <v>614</v>
      </c>
      <c r="B24" s="22">
        <v>2733.15</v>
      </c>
    </row>
    <row r="25" spans="1:2" x14ac:dyDescent="0.25">
      <c r="A25" t="s">
        <v>615</v>
      </c>
      <c r="B25" s="22">
        <v>3778.4</v>
      </c>
    </row>
    <row r="26" spans="1:2" x14ac:dyDescent="0.25">
      <c r="A26" t="s">
        <v>616</v>
      </c>
      <c r="B26" s="22">
        <v>3032.72</v>
      </c>
    </row>
    <row r="27" spans="1:2" x14ac:dyDescent="0.25">
      <c r="B27" s="22">
        <v>1952.25</v>
      </c>
    </row>
    <row r="28" spans="1:2" x14ac:dyDescent="0.25">
      <c r="B28" s="22">
        <v>2342.6799999999998</v>
      </c>
    </row>
    <row r="29" spans="1:2" x14ac:dyDescent="0.25">
      <c r="A29" t="s">
        <v>617</v>
      </c>
      <c r="B29" s="26">
        <f>SUM(B4:B28)</f>
        <v>73358.22</v>
      </c>
    </row>
    <row r="30" spans="1:2" x14ac:dyDescent="0.25">
      <c r="A30" t="s">
        <v>599</v>
      </c>
      <c r="B30" s="26">
        <v>20000</v>
      </c>
    </row>
    <row r="32" spans="1:2" x14ac:dyDescent="0.25">
      <c r="A32" s="1" t="s">
        <v>618</v>
      </c>
      <c r="B32" s="26">
        <f>SUM(B29:B31)</f>
        <v>93358.22</v>
      </c>
    </row>
    <row r="33" spans="1:2" x14ac:dyDescent="0.25">
      <c r="A33" t="s">
        <v>601</v>
      </c>
      <c r="B33" s="26">
        <f>B32/10</f>
        <v>9335.8220000000001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Assets </vt:lpstr>
      <vt:lpstr>Pivot All Assets</vt:lpstr>
      <vt:lpstr>Pivot Assets FY 24-25</vt:lpstr>
      <vt:lpstr>Assets FY 24-25</vt:lpstr>
      <vt:lpstr>Pivot Assets FY 21-22</vt:lpstr>
      <vt:lpstr>Assets FY 21-22</vt:lpstr>
      <vt:lpstr>Validation Data</vt:lpstr>
      <vt:lpstr>Workings - Panel Racks and "A"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</dc:creator>
  <cp:keywords/>
  <dc:description/>
  <cp:lastModifiedBy>Keshav Rajcoomar</cp:lastModifiedBy>
  <cp:revision/>
  <dcterms:created xsi:type="dcterms:W3CDTF">2022-06-20T22:28:52Z</dcterms:created>
  <dcterms:modified xsi:type="dcterms:W3CDTF">2025-08-10T01:53:05Z</dcterms:modified>
  <cp:category/>
  <cp:contentStatus/>
</cp:coreProperties>
</file>