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BAB1D683-F2F0-4D2A-853B-FACD8A1298EA}" xr6:coauthVersionLast="47" xr6:coauthVersionMax="47" xr10:uidLastSave="{00000000-0000-0000-0000-000000000000}"/>
  <bookViews>
    <workbookView xWindow="-104" yWindow="-104" windowWidth="22326" windowHeight="13329" xr2:uid="{00000000-000D-0000-FFFF-FFFF00000000}"/>
  </bookViews>
  <sheets>
    <sheet name="Activities" sheetId="1" r:id="rId1"/>
    <sheet name="Reference - Stages" sheetId="2" r:id="rId2"/>
    <sheet name="Reference - Consultants" sheetId="3" r:id="rId3"/>
    <sheet name="Reference - Phas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" i="1"/>
</calcChain>
</file>

<file path=xl/sharedStrings.xml><?xml version="1.0" encoding="utf-8"?>
<sst xmlns="http://schemas.openxmlformats.org/spreadsheetml/2006/main" count="342" uniqueCount="197">
  <si>
    <t>Stage Number</t>
  </si>
  <si>
    <t>Stage Name</t>
  </si>
  <si>
    <t>Strategy &amp; Feasibility</t>
  </si>
  <si>
    <t>Architecture</t>
  </si>
  <si>
    <t>Agent</t>
  </si>
  <si>
    <t>OPPORTUNITY</t>
  </si>
  <si>
    <t>Site Acquisition</t>
  </si>
  <si>
    <t>Concept &amp; Planning Strategy</t>
  </si>
  <si>
    <t>Planning Approval</t>
  </si>
  <si>
    <t>Detailed Design &amp; Building Approval</t>
  </si>
  <si>
    <t>Procurement</t>
  </si>
  <si>
    <t>Construction</t>
  </si>
  <si>
    <t>Commissioning &amp; Occupancy</t>
  </si>
  <si>
    <t>Settlement &amp; Handover</t>
  </si>
  <si>
    <t>Defects &amp; Stabilisation</t>
  </si>
  <si>
    <t>#</t>
  </si>
  <si>
    <t>Consultant Name</t>
  </si>
  <si>
    <t>Architect</t>
  </si>
  <si>
    <t>Asset Manager</t>
  </si>
  <si>
    <t>Builder</t>
  </si>
  <si>
    <t>Builder / Consultants</t>
  </si>
  <si>
    <t>Builder / Façade Engineer</t>
  </si>
  <si>
    <t>Builder / PM</t>
  </si>
  <si>
    <t>Builder / Structural Engineer</t>
  </si>
  <si>
    <t>Building Surveyor</t>
  </si>
  <si>
    <t>Civil Engineer</t>
  </si>
  <si>
    <t>Commissioning Manager</t>
  </si>
  <si>
    <t>Development Manager</t>
  </si>
  <si>
    <t>Development Manager / QS</t>
  </si>
  <si>
    <t>Environmental Consultant</t>
  </si>
  <si>
    <t>ESD Consultant</t>
  </si>
  <si>
    <t>Fire Engineer</t>
  </si>
  <si>
    <t>Geotechnical Engineer</t>
  </si>
  <si>
    <t>Landscape Architect</t>
  </si>
  <si>
    <t>Lawyer / Developer</t>
  </si>
  <si>
    <t>Licensed Surveyor</t>
  </si>
  <si>
    <t>Market Research Consultant</t>
  </si>
  <si>
    <t>MEP / ESD Consultants</t>
  </si>
  <si>
    <t>MEP Contractors</t>
  </si>
  <si>
    <t>MEP Engineers</t>
  </si>
  <si>
    <t>PCA / Consultants</t>
  </si>
  <si>
    <t>PM / QS</t>
  </si>
  <si>
    <t>Property Lawyer</t>
  </si>
  <si>
    <t>QS / PM</t>
  </si>
  <si>
    <t>Quantity Surveyor</t>
  </si>
  <si>
    <t>Strata Manager / Lawyer</t>
  </si>
  <si>
    <t>Structural Engineer</t>
  </si>
  <si>
    <t>Superintendent / PM</t>
  </si>
  <si>
    <t>Surveyor</t>
  </si>
  <si>
    <t>Town Planner</t>
  </si>
  <si>
    <t>Town Planner / Lawyer</t>
  </si>
  <si>
    <t>Traffic Engineer</t>
  </si>
  <si>
    <t>Various Consultants</t>
  </si>
  <si>
    <t>Phase Value</t>
  </si>
  <si>
    <t>QUOTING</t>
  </si>
  <si>
    <t>WON_AWAITING_CONTRACT</t>
  </si>
  <si>
    <t>CONTRACTED</t>
  </si>
  <si>
    <t>LOST</t>
  </si>
  <si>
    <t>StageID</t>
  </si>
  <si>
    <t>JOB PHASE</t>
  </si>
  <si>
    <t>Activity Category</t>
  </si>
  <si>
    <t>Activity Description</t>
  </si>
  <si>
    <t>Estimated Timeline (days)</t>
  </si>
  <si>
    <t>Primary Consultant / Responsible Party</t>
  </si>
  <si>
    <t>Key Deliverable / Output</t>
  </si>
  <si>
    <t>Market Analysis</t>
  </si>
  <si>
    <t>Undertake market and demand study</t>
  </si>
  <si>
    <t>Market demand report</t>
  </si>
  <si>
    <t>Feasibility</t>
  </si>
  <si>
    <t>Prepare high-level development feasibility model</t>
  </si>
  <si>
    <t>Feasibility model</t>
  </si>
  <si>
    <t>Planning Due Diligence</t>
  </si>
  <si>
    <t>Review zoning, overlays, planning controls</t>
  </si>
  <si>
    <t>Planning due diligence memo</t>
  </si>
  <si>
    <t>Concept Design</t>
  </si>
  <si>
    <t>Prepare test fit / massing options</t>
  </si>
  <si>
    <t>Concept massing drawings</t>
  </si>
  <si>
    <t>Cost Planning</t>
  </si>
  <si>
    <t>Prepare preliminary cost plan</t>
  </si>
  <si>
    <t>Concept cost plan</t>
  </si>
  <si>
    <t>Risk</t>
  </si>
  <si>
    <t>Prepare initial development risk register</t>
  </si>
  <si>
    <t>Risk register</t>
  </si>
  <si>
    <t>Legal</t>
  </si>
  <si>
    <t>Review title, easements, covenants</t>
  </si>
  <si>
    <t>Title due diligence report</t>
  </si>
  <si>
    <t>Surveying</t>
  </si>
  <si>
    <t>Prepare feature &amp; level survey</t>
  </si>
  <si>
    <t>Feature &amp; level survey</t>
  </si>
  <si>
    <t>Environmental</t>
  </si>
  <si>
    <t>Undertake contamination screening (PSI)</t>
  </si>
  <si>
    <t>Contamination assessment</t>
  </si>
  <si>
    <t>Geotechnical</t>
  </si>
  <si>
    <t>Preliminary geotechnical investigation</t>
  </si>
  <si>
    <t>Geotechnical advice</t>
  </si>
  <si>
    <t>Traffic</t>
  </si>
  <si>
    <t>Assess site access feasibility</t>
  </si>
  <si>
    <t>Access feasibility advice</t>
  </si>
  <si>
    <t>Commercial</t>
  </si>
  <si>
    <t>Negotiate land contract / option</t>
  </si>
  <si>
    <t>Executed contract</t>
  </si>
  <si>
    <t>Prepare planning concept design</t>
  </si>
  <si>
    <t>Planning drawings</t>
  </si>
  <si>
    <t>Planning</t>
  </si>
  <si>
    <t>Prepare planning strategy and pre-app advice</t>
  </si>
  <si>
    <t>Planning strategy memo</t>
  </si>
  <si>
    <t>Prepare traffic &amp; parking concept report</t>
  </si>
  <si>
    <t>Traffic report</t>
  </si>
  <si>
    <t>Civil</t>
  </si>
  <si>
    <t>Prepare concept stormwater &amp; services strategy</t>
  </si>
  <si>
    <t>Servicing strategy</t>
  </si>
  <si>
    <t>Landscape</t>
  </si>
  <si>
    <t>Prepare landscape concept design</t>
  </si>
  <si>
    <t>Landscape concept</t>
  </si>
  <si>
    <t>ESD</t>
  </si>
  <si>
    <t>Prepare sustainability strategy</t>
  </si>
  <si>
    <t>ESD strategy</t>
  </si>
  <si>
    <t>Planning Application</t>
  </si>
  <si>
    <t>Prepare and lodge planning permit application</t>
  </si>
  <si>
    <t>DA submission</t>
  </si>
  <si>
    <t>Prepare DA architectural plans</t>
  </si>
  <si>
    <t>DA drawings</t>
  </si>
  <si>
    <t>Consultant Reports</t>
  </si>
  <si>
    <t>Prepare supporting consultant reports</t>
  </si>
  <si>
    <t>Planning reports</t>
  </si>
  <si>
    <t>Council Process</t>
  </si>
  <si>
    <t>Respond to RFIs and objections</t>
  </si>
  <si>
    <t>RFI responses</t>
  </si>
  <si>
    <t>Approval</t>
  </si>
  <si>
    <t>Negotiate permit conditions and obtain approval</t>
  </si>
  <si>
    <t>Planning permit</t>
  </si>
  <si>
    <t>Prepare detailed design &amp; construction documentation</t>
  </si>
  <si>
    <t>IFC drawings</t>
  </si>
  <si>
    <t>Structural</t>
  </si>
  <si>
    <t>Prepare structural design &amp; drawings</t>
  </si>
  <si>
    <t>Structural documentation</t>
  </si>
  <si>
    <t>Services</t>
  </si>
  <si>
    <t>Prepare MEP design documentation</t>
  </si>
  <si>
    <t>Services drawings</t>
  </si>
  <si>
    <t>Fire</t>
  </si>
  <si>
    <t>Prepare fire safety strategy &amp; reports</t>
  </si>
  <si>
    <t>Fire engineering report</t>
  </si>
  <si>
    <t>Certification</t>
  </si>
  <si>
    <t>Obtain building permit / construction certificate</t>
  </si>
  <si>
    <t>Building permit</t>
  </si>
  <si>
    <t>Tendering</t>
  </si>
  <si>
    <t>Prepare and issue tender documentation</t>
  </si>
  <si>
    <t>Tender package</t>
  </si>
  <si>
    <t>Tender Review</t>
  </si>
  <si>
    <t>Assess and level tenders</t>
  </si>
  <si>
    <t>Tender report</t>
  </si>
  <si>
    <t>Contracting</t>
  </si>
  <si>
    <t>Negotiate and execute building contract</t>
  </si>
  <si>
    <t>Site Establishment</t>
  </si>
  <si>
    <t>Mobilise site and commence works</t>
  </si>
  <si>
    <t>Site establishment</t>
  </si>
  <si>
    <t>Structure</t>
  </si>
  <si>
    <t>Construct substructure and superstructure</t>
  </si>
  <si>
    <t>Completed structure</t>
  </si>
  <si>
    <t>Façade</t>
  </si>
  <si>
    <t>Install façade systems</t>
  </si>
  <si>
    <t>Façade installation</t>
  </si>
  <si>
    <t>Install building services</t>
  </si>
  <si>
    <t>Services installation</t>
  </si>
  <si>
    <t>Contract Admin</t>
  </si>
  <si>
    <t>Administer variations, EOTs, progress claims</t>
  </si>
  <si>
    <t>Contract records</t>
  </si>
  <si>
    <t>Commissioning</t>
  </si>
  <si>
    <t>Commission all building systems</t>
  </si>
  <si>
    <t>Commissioning records</t>
  </si>
  <si>
    <t>Compliance</t>
  </si>
  <si>
    <t>Final inspections and compliance certifications</t>
  </si>
  <si>
    <t>Compliance certificates</t>
  </si>
  <si>
    <t>Handover</t>
  </si>
  <si>
    <t>Prepare O&amp;M manuals and training</t>
  </si>
  <si>
    <t>O&amp;M manuals</t>
  </si>
  <si>
    <t>Occupancy</t>
  </si>
  <si>
    <t>Obtain occupancy permit</t>
  </si>
  <si>
    <t>Occupancy permit</t>
  </si>
  <si>
    <t>Subdivision</t>
  </si>
  <si>
    <t>Prepare and register plan of subdivision</t>
  </si>
  <si>
    <t>Registered titles</t>
  </si>
  <si>
    <t>Strata</t>
  </si>
  <si>
    <t>Establish Owners Corporation</t>
  </si>
  <si>
    <t>OC registration</t>
  </si>
  <si>
    <t>Leasing</t>
  </si>
  <si>
    <t>Lease or sell completed asset</t>
  </si>
  <si>
    <t>Executed leases/sales</t>
  </si>
  <si>
    <t>Defects</t>
  </si>
  <si>
    <t>Manage defects liability period</t>
  </si>
  <si>
    <t>Defects closed</t>
  </si>
  <si>
    <t>Tuning</t>
  </si>
  <si>
    <t>Post-occupancy building tuning</t>
  </si>
  <si>
    <t>Performance reports</t>
  </si>
  <si>
    <t>Stabilisation</t>
  </si>
  <si>
    <t>Achieve target occupancy and stable operations</t>
  </si>
  <si>
    <t>Stabilised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</si>
</sst>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2" fillId="0" borderId="2" xfId="0" applyFont="1" applyBorder="1"/>
    <xf numFmtId="0" fontId="0" fillId="3" borderId="2" xfId="0" applyFill="1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zoomScale="70" zoomScaleNormal="70" workbookViewId="0">
      <selection activeCell="D3" sqref="D3"/>
    </sheetView>
  </sheetViews>
  <sheetFormatPr defaultRowHeight="14.4" x14ac:dyDescent="0.3"/>
  <cols>
    <col min="1" max="1" width="15" customWidth="1"/>
    <col min="2" max="2" width="35" customWidth="1"/>
    <col min="3" max="3" width="20" customWidth="1"/>
    <col min="4" max="5" width="40" customWidth="1"/>
    <col min="6" max="6" width="16" customWidth="1"/>
    <col min="7" max="8" width="30" customWidth="1"/>
    <col min="9" max="9" width="25" customWidth="1"/>
  </cols>
  <sheetData>
    <row r="1" spans="1:9" s="3" customFormat="1" ht="28.8" x14ac:dyDescent="0.3">
      <c r="A1" s="2" t="s">
        <v>58</v>
      </c>
      <c r="B1" s="3" t="s">
        <v>1</v>
      </c>
      <c r="C1" s="3" t="s">
        <v>60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59</v>
      </c>
    </row>
    <row r="2" spans="1:9" x14ac:dyDescent="0.3">
      <c r="A2" s="4">
        <v>1</v>
      </c>
      <c r="B2" s="5" t="s">
        <v>2</v>
      </c>
      <c r="C2" s="6" t="s">
        <v>65</v>
      </c>
      <c r="D2" t="str">
        <f>C2</f>
        <v>Market Analysis</v>
      </c>
      <c r="E2" s="6" t="s">
        <v>66</v>
      </c>
      <c r="F2" s="6">
        <v>5</v>
      </c>
      <c r="G2" s="7" t="s">
        <v>36</v>
      </c>
      <c r="H2" s="7" t="s">
        <v>67</v>
      </c>
      <c r="I2" s="5" t="s">
        <v>5</v>
      </c>
    </row>
    <row r="3" spans="1:9" x14ac:dyDescent="0.3">
      <c r="A3" s="8">
        <v>1</v>
      </c>
      <c r="B3" s="9" t="s">
        <v>2</v>
      </c>
      <c r="C3" s="10" t="s">
        <v>68</v>
      </c>
      <c r="D3" t="str">
        <f t="shared" ref="D3:D47" si="0">C3</f>
        <v>Feasibility</v>
      </c>
      <c r="E3" s="10" t="s">
        <v>69</v>
      </c>
      <c r="F3" s="10">
        <v>5</v>
      </c>
      <c r="G3" s="11" t="s">
        <v>28</v>
      </c>
      <c r="H3" s="11" t="s">
        <v>70</v>
      </c>
      <c r="I3" s="9" t="s">
        <v>5</v>
      </c>
    </row>
    <row r="4" spans="1:9" x14ac:dyDescent="0.3">
      <c r="A4" s="8">
        <v>1</v>
      </c>
      <c r="B4" s="9" t="s">
        <v>2</v>
      </c>
      <c r="C4" s="10" t="s">
        <v>71</v>
      </c>
      <c r="D4" t="str">
        <f t="shared" si="0"/>
        <v>Planning Due Diligence</v>
      </c>
      <c r="E4" s="10" t="s">
        <v>72</v>
      </c>
      <c r="F4" s="10">
        <v>5</v>
      </c>
      <c r="G4" s="11" t="s">
        <v>49</v>
      </c>
      <c r="H4" s="11" t="s">
        <v>73</v>
      </c>
      <c r="I4" s="9" t="s">
        <v>5</v>
      </c>
    </row>
    <row r="5" spans="1:9" x14ac:dyDescent="0.3">
      <c r="A5" s="8">
        <v>1</v>
      </c>
      <c r="B5" s="9" t="s">
        <v>2</v>
      </c>
      <c r="C5" s="10" t="s">
        <v>74</v>
      </c>
      <c r="D5" t="str">
        <f t="shared" si="0"/>
        <v>Concept Design</v>
      </c>
      <c r="E5" s="10" t="s">
        <v>75</v>
      </c>
      <c r="F5" s="10">
        <v>25</v>
      </c>
      <c r="G5" s="11" t="s">
        <v>17</v>
      </c>
      <c r="H5" s="11" t="s">
        <v>76</v>
      </c>
      <c r="I5" s="9" t="s">
        <v>5</v>
      </c>
    </row>
    <row r="6" spans="1:9" x14ac:dyDescent="0.3">
      <c r="A6" s="8">
        <v>1</v>
      </c>
      <c r="B6" s="9" t="s">
        <v>2</v>
      </c>
      <c r="C6" s="10" t="s">
        <v>77</v>
      </c>
      <c r="D6" t="str">
        <f t="shared" si="0"/>
        <v>Cost Planning</v>
      </c>
      <c r="E6" s="10" t="s">
        <v>78</v>
      </c>
      <c r="F6" s="10">
        <v>20</v>
      </c>
      <c r="G6" s="11" t="s">
        <v>44</v>
      </c>
      <c r="H6" s="11" t="s">
        <v>79</v>
      </c>
      <c r="I6" s="9" t="s">
        <v>56</v>
      </c>
    </row>
    <row r="7" spans="1:9" x14ac:dyDescent="0.3">
      <c r="A7" s="8">
        <v>1</v>
      </c>
      <c r="B7" s="9" t="s">
        <v>2</v>
      </c>
      <c r="C7" s="10" t="s">
        <v>80</v>
      </c>
      <c r="D7" t="str">
        <f t="shared" si="0"/>
        <v>Risk</v>
      </c>
      <c r="E7" s="10" t="s">
        <v>81</v>
      </c>
      <c r="F7" s="10">
        <v>5</v>
      </c>
      <c r="G7" s="11" t="s">
        <v>27</v>
      </c>
      <c r="H7" s="11" t="s">
        <v>82</v>
      </c>
      <c r="I7" s="9" t="s">
        <v>56</v>
      </c>
    </row>
    <row r="8" spans="1:9" x14ac:dyDescent="0.3">
      <c r="A8" s="8">
        <v>2</v>
      </c>
      <c r="B8" s="9" t="s">
        <v>6</v>
      </c>
      <c r="C8" s="10" t="s">
        <v>83</v>
      </c>
      <c r="D8" t="str">
        <f t="shared" si="0"/>
        <v>Legal</v>
      </c>
      <c r="E8" s="10" t="s">
        <v>84</v>
      </c>
      <c r="F8" s="10">
        <v>5</v>
      </c>
      <c r="G8" s="11" t="s">
        <v>42</v>
      </c>
      <c r="H8" s="11" t="s">
        <v>85</v>
      </c>
      <c r="I8" s="9" t="s">
        <v>56</v>
      </c>
    </row>
    <row r="9" spans="1:9" x14ac:dyDescent="0.3">
      <c r="A9" s="8">
        <v>2</v>
      </c>
      <c r="B9" s="9" t="s">
        <v>6</v>
      </c>
      <c r="C9" s="10" t="s">
        <v>86</v>
      </c>
      <c r="D9" t="str">
        <f t="shared" si="0"/>
        <v>Surveying</v>
      </c>
      <c r="E9" s="10" t="s">
        <v>87</v>
      </c>
      <c r="F9" s="10">
        <v>15</v>
      </c>
      <c r="G9" s="11" t="s">
        <v>35</v>
      </c>
      <c r="H9" s="11" t="s">
        <v>88</v>
      </c>
      <c r="I9" s="9" t="s">
        <v>56</v>
      </c>
    </row>
    <row r="10" spans="1:9" x14ac:dyDescent="0.3">
      <c r="A10" s="8">
        <v>2</v>
      </c>
      <c r="B10" s="9" t="s">
        <v>6</v>
      </c>
      <c r="C10" s="10" t="s">
        <v>89</v>
      </c>
      <c r="D10" t="str">
        <f t="shared" si="0"/>
        <v>Environmental</v>
      </c>
      <c r="E10" s="10" t="s">
        <v>90</v>
      </c>
      <c r="F10" s="10">
        <v>30</v>
      </c>
      <c r="G10" s="11" t="s">
        <v>29</v>
      </c>
      <c r="H10" s="11" t="s">
        <v>91</v>
      </c>
      <c r="I10" s="9" t="s">
        <v>56</v>
      </c>
    </row>
    <row r="11" spans="1:9" x14ac:dyDescent="0.3">
      <c r="A11" s="8">
        <v>2</v>
      </c>
      <c r="B11" s="9" t="s">
        <v>6</v>
      </c>
      <c r="C11" s="10" t="s">
        <v>92</v>
      </c>
      <c r="D11" t="str">
        <f t="shared" si="0"/>
        <v>Geotechnical</v>
      </c>
      <c r="E11" s="10" t="s">
        <v>93</v>
      </c>
      <c r="F11" s="10">
        <v>30</v>
      </c>
      <c r="G11" s="11" t="s">
        <v>32</v>
      </c>
      <c r="H11" s="11" t="s">
        <v>94</v>
      </c>
      <c r="I11" s="9" t="s">
        <v>56</v>
      </c>
    </row>
    <row r="12" spans="1:9" x14ac:dyDescent="0.3">
      <c r="A12" s="8">
        <v>2</v>
      </c>
      <c r="B12" s="9" t="s">
        <v>6</v>
      </c>
      <c r="C12" s="10" t="s">
        <v>95</v>
      </c>
      <c r="D12" t="str">
        <f t="shared" si="0"/>
        <v>Traffic</v>
      </c>
      <c r="E12" s="10" t="s">
        <v>96</v>
      </c>
      <c r="F12" s="10">
        <v>14</v>
      </c>
      <c r="G12" s="11" t="s">
        <v>51</v>
      </c>
      <c r="H12" s="11" t="s">
        <v>97</v>
      </c>
      <c r="I12" s="9" t="s">
        <v>56</v>
      </c>
    </row>
    <row r="13" spans="1:9" x14ac:dyDescent="0.3">
      <c r="A13" s="8">
        <v>2</v>
      </c>
      <c r="B13" s="9" t="s">
        <v>6</v>
      </c>
      <c r="C13" s="10" t="s">
        <v>98</v>
      </c>
      <c r="D13" t="str">
        <f t="shared" si="0"/>
        <v>Commercial</v>
      </c>
      <c r="E13" s="10" t="s">
        <v>99</v>
      </c>
      <c r="F13" s="10">
        <v>14</v>
      </c>
      <c r="G13" s="11" t="s">
        <v>34</v>
      </c>
      <c r="H13" s="11" t="s">
        <v>100</v>
      </c>
      <c r="I13" s="9" t="s">
        <v>56</v>
      </c>
    </row>
    <row r="14" spans="1:9" x14ac:dyDescent="0.3">
      <c r="A14" s="8">
        <v>3</v>
      </c>
      <c r="B14" s="9" t="s">
        <v>7</v>
      </c>
      <c r="C14" s="10" t="s">
        <v>3</v>
      </c>
      <c r="D14" t="str">
        <f t="shared" si="0"/>
        <v>Architecture</v>
      </c>
      <c r="E14" s="10" t="s">
        <v>101</v>
      </c>
      <c r="F14" s="10">
        <v>14</v>
      </c>
      <c r="G14" s="11" t="s">
        <v>17</v>
      </c>
      <c r="H14" s="11" t="s">
        <v>102</v>
      </c>
      <c r="I14" s="9" t="s">
        <v>56</v>
      </c>
    </row>
    <row r="15" spans="1:9" x14ac:dyDescent="0.3">
      <c r="A15" s="8">
        <v>3</v>
      </c>
      <c r="B15" s="9" t="s">
        <v>7</v>
      </c>
      <c r="C15" s="10" t="s">
        <v>103</v>
      </c>
      <c r="D15" t="str">
        <f t="shared" si="0"/>
        <v>Planning</v>
      </c>
      <c r="E15" s="10" t="s">
        <v>104</v>
      </c>
      <c r="F15" s="10">
        <v>14</v>
      </c>
      <c r="G15" s="11" t="s">
        <v>49</v>
      </c>
      <c r="H15" s="11" t="s">
        <v>105</v>
      </c>
      <c r="I15" s="9" t="s">
        <v>56</v>
      </c>
    </row>
    <row r="16" spans="1:9" x14ac:dyDescent="0.3">
      <c r="A16" s="8">
        <v>3</v>
      </c>
      <c r="B16" s="9" t="s">
        <v>7</v>
      </c>
      <c r="C16" s="10" t="s">
        <v>95</v>
      </c>
      <c r="D16" t="str">
        <f t="shared" si="0"/>
        <v>Traffic</v>
      </c>
      <c r="E16" s="10" t="s">
        <v>106</v>
      </c>
      <c r="F16" s="10">
        <v>14</v>
      </c>
      <c r="G16" s="11" t="s">
        <v>51</v>
      </c>
      <c r="H16" s="11" t="s">
        <v>107</v>
      </c>
      <c r="I16" s="9" t="s">
        <v>56</v>
      </c>
    </row>
    <row r="17" spans="1:9" x14ac:dyDescent="0.3">
      <c r="A17" s="8">
        <v>3</v>
      </c>
      <c r="B17" s="9" t="s">
        <v>7</v>
      </c>
      <c r="C17" s="10" t="s">
        <v>108</v>
      </c>
      <c r="D17" t="str">
        <f t="shared" si="0"/>
        <v>Civil</v>
      </c>
      <c r="E17" s="10" t="s">
        <v>109</v>
      </c>
      <c r="F17" s="10">
        <v>14</v>
      </c>
      <c r="G17" s="11" t="s">
        <v>25</v>
      </c>
      <c r="H17" s="11" t="s">
        <v>110</v>
      </c>
      <c r="I17" s="9" t="s">
        <v>56</v>
      </c>
    </row>
    <row r="18" spans="1:9" x14ac:dyDescent="0.3">
      <c r="A18" s="8">
        <v>3</v>
      </c>
      <c r="B18" s="9" t="s">
        <v>7</v>
      </c>
      <c r="C18" s="10" t="s">
        <v>111</v>
      </c>
      <c r="D18" t="str">
        <f t="shared" si="0"/>
        <v>Landscape</v>
      </c>
      <c r="E18" s="10" t="s">
        <v>112</v>
      </c>
      <c r="F18" s="10">
        <v>14</v>
      </c>
      <c r="G18" s="11" t="s">
        <v>33</v>
      </c>
      <c r="H18" s="11" t="s">
        <v>113</v>
      </c>
      <c r="I18" s="9" t="s">
        <v>56</v>
      </c>
    </row>
    <row r="19" spans="1:9" x14ac:dyDescent="0.3">
      <c r="A19" s="8">
        <v>3</v>
      </c>
      <c r="B19" s="9" t="s">
        <v>7</v>
      </c>
      <c r="C19" s="10" t="s">
        <v>114</v>
      </c>
      <c r="D19" t="str">
        <f t="shared" si="0"/>
        <v>ESD</v>
      </c>
      <c r="E19" s="10" t="s">
        <v>115</v>
      </c>
      <c r="F19" s="10">
        <v>14</v>
      </c>
      <c r="G19" s="11" t="s">
        <v>30</v>
      </c>
      <c r="H19" s="11" t="s">
        <v>116</v>
      </c>
      <c r="I19" s="9" t="s">
        <v>56</v>
      </c>
    </row>
    <row r="20" spans="1:9" x14ac:dyDescent="0.3">
      <c r="A20" s="8">
        <v>4</v>
      </c>
      <c r="B20" s="9" t="s">
        <v>8</v>
      </c>
      <c r="C20" s="10" t="s">
        <v>117</v>
      </c>
      <c r="D20" t="str">
        <f t="shared" si="0"/>
        <v>Planning Application</v>
      </c>
      <c r="E20" s="10" t="s">
        <v>118</v>
      </c>
      <c r="F20" s="10">
        <v>14</v>
      </c>
      <c r="G20" s="11" t="s">
        <v>49</v>
      </c>
      <c r="H20" s="11" t="s">
        <v>119</v>
      </c>
      <c r="I20" s="9" t="s">
        <v>56</v>
      </c>
    </row>
    <row r="21" spans="1:9" x14ac:dyDescent="0.3">
      <c r="A21" s="8">
        <v>4</v>
      </c>
      <c r="B21" s="9" t="s">
        <v>8</v>
      </c>
      <c r="C21" s="10" t="s">
        <v>3</v>
      </c>
      <c r="D21" t="str">
        <f t="shared" si="0"/>
        <v>Architecture</v>
      </c>
      <c r="E21" s="10" t="s">
        <v>120</v>
      </c>
      <c r="F21" s="10">
        <v>14</v>
      </c>
      <c r="G21" s="11" t="s">
        <v>17</v>
      </c>
      <c r="H21" s="11" t="s">
        <v>121</v>
      </c>
      <c r="I21" s="9" t="s">
        <v>56</v>
      </c>
    </row>
    <row r="22" spans="1:9" x14ac:dyDescent="0.3">
      <c r="A22" s="8">
        <v>4</v>
      </c>
      <c r="B22" s="9" t="s">
        <v>8</v>
      </c>
      <c r="C22" s="10" t="s">
        <v>122</v>
      </c>
      <c r="D22" t="str">
        <f t="shared" si="0"/>
        <v>Consultant Reports</v>
      </c>
      <c r="E22" s="10" t="s">
        <v>123</v>
      </c>
      <c r="F22" s="10">
        <v>14</v>
      </c>
      <c r="G22" s="11" t="s">
        <v>52</v>
      </c>
      <c r="H22" s="11" t="s">
        <v>124</v>
      </c>
      <c r="I22" s="9" t="s">
        <v>56</v>
      </c>
    </row>
    <row r="23" spans="1:9" x14ac:dyDescent="0.3">
      <c r="A23" s="8">
        <v>4</v>
      </c>
      <c r="B23" s="9" t="s">
        <v>8</v>
      </c>
      <c r="C23" s="10" t="s">
        <v>125</v>
      </c>
      <c r="D23" t="str">
        <f t="shared" si="0"/>
        <v>Council Process</v>
      </c>
      <c r="E23" s="10" t="s">
        <v>126</v>
      </c>
      <c r="F23" s="10">
        <v>14</v>
      </c>
      <c r="G23" s="11" t="s">
        <v>49</v>
      </c>
      <c r="H23" s="11" t="s">
        <v>127</v>
      </c>
      <c r="I23" s="9" t="s">
        <v>56</v>
      </c>
    </row>
    <row r="24" spans="1:9" x14ac:dyDescent="0.3">
      <c r="A24" s="8">
        <v>4</v>
      </c>
      <c r="B24" s="9" t="s">
        <v>8</v>
      </c>
      <c r="C24" s="10" t="s">
        <v>128</v>
      </c>
      <c r="D24" t="str">
        <f t="shared" si="0"/>
        <v>Approval</v>
      </c>
      <c r="E24" s="10" t="s">
        <v>129</v>
      </c>
      <c r="F24" s="10">
        <v>14</v>
      </c>
      <c r="G24" s="11" t="s">
        <v>50</v>
      </c>
      <c r="H24" s="11" t="s">
        <v>130</v>
      </c>
      <c r="I24" s="9" t="s">
        <v>56</v>
      </c>
    </row>
    <row r="25" spans="1:9" x14ac:dyDescent="0.3">
      <c r="A25" s="8">
        <v>5</v>
      </c>
      <c r="B25" s="9" t="s">
        <v>9</v>
      </c>
      <c r="C25" s="10" t="s">
        <v>3</v>
      </c>
      <c r="D25" t="str">
        <f t="shared" si="0"/>
        <v>Architecture</v>
      </c>
      <c r="E25" s="10" t="s">
        <v>131</v>
      </c>
      <c r="F25" s="10">
        <v>14</v>
      </c>
      <c r="G25" s="11" t="s">
        <v>17</v>
      </c>
      <c r="H25" s="11" t="s">
        <v>132</v>
      </c>
      <c r="I25" s="9" t="s">
        <v>56</v>
      </c>
    </row>
    <row r="26" spans="1:9" x14ac:dyDescent="0.3">
      <c r="A26" s="8">
        <v>5</v>
      </c>
      <c r="B26" s="9" t="s">
        <v>9</v>
      </c>
      <c r="C26" s="10" t="s">
        <v>133</v>
      </c>
      <c r="D26" t="str">
        <f t="shared" si="0"/>
        <v>Structural</v>
      </c>
      <c r="E26" s="10" t="s">
        <v>134</v>
      </c>
      <c r="F26" s="10">
        <v>14</v>
      </c>
      <c r="G26" s="11" t="s">
        <v>46</v>
      </c>
      <c r="H26" s="11" t="s">
        <v>135</v>
      </c>
      <c r="I26" s="9" t="s">
        <v>56</v>
      </c>
    </row>
    <row r="27" spans="1:9" x14ac:dyDescent="0.3">
      <c r="A27" s="8">
        <v>5</v>
      </c>
      <c r="B27" s="9" t="s">
        <v>9</v>
      </c>
      <c r="C27" s="10" t="s">
        <v>136</v>
      </c>
      <c r="D27" t="str">
        <f t="shared" si="0"/>
        <v>Services</v>
      </c>
      <c r="E27" s="10" t="s">
        <v>137</v>
      </c>
      <c r="F27" s="10">
        <v>14</v>
      </c>
      <c r="G27" s="11" t="s">
        <v>39</v>
      </c>
      <c r="H27" s="11" t="s">
        <v>138</v>
      </c>
      <c r="I27" s="9" t="s">
        <v>56</v>
      </c>
    </row>
    <row r="28" spans="1:9" x14ac:dyDescent="0.3">
      <c r="A28" s="8">
        <v>5</v>
      </c>
      <c r="B28" s="9" t="s">
        <v>9</v>
      </c>
      <c r="C28" s="10" t="s">
        <v>139</v>
      </c>
      <c r="D28" t="str">
        <f t="shared" si="0"/>
        <v>Fire</v>
      </c>
      <c r="E28" s="10" t="s">
        <v>140</v>
      </c>
      <c r="F28" s="10">
        <v>14</v>
      </c>
      <c r="G28" s="11" t="s">
        <v>31</v>
      </c>
      <c r="H28" s="11" t="s">
        <v>141</v>
      </c>
      <c r="I28" s="9" t="s">
        <v>56</v>
      </c>
    </row>
    <row r="29" spans="1:9" x14ac:dyDescent="0.3">
      <c r="A29" s="8">
        <v>5</v>
      </c>
      <c r="B29" s="9" t="s">
        <v>9</v>
      </c>
      <c r="C29" s="10" t="s">
        <v>142</v>
      </c>
      <c r="D29" t="str">
        <f t="shared" si="0"/>
        <v>Certification</v>
      </c>
      <c r="E29" s="10" t="s">
        <v>143</v>
      </c>
      <c r="F29" s="10">
        <v>14</v>
      </c>
      <c r="G29" s="11" t="s">
        <v>24</v>
      </c>
      <c r="H29" s="11" t="s">
        <v>144</v>
      </c>
      <c r="I29" s="9" t="s">
        <v>56</v>
      </c>
    </row>
    <row r="30" spans="1:9" x14ac:dyDescent="0.3">
      <c r="A30" s="8">
        <v>6</v>
      </c>
      <c r="B30" s="9" t="s">
        <v>10</v>
      </c>
      <c r="C30" s="10" t="s">
        <v>145</v>
      </c>
      <c r="D30" t="str">
        <f t="shared" si="0"/>
        <v>Tendering</v>
      </c>
      <c r="E30" s="10" t="s">
        <v>146</v>
      </c>
      <c r="F30" s="10">
        <v>14</v>
      </c>
      <c r="G30" s="11" t="s">
        <v>41</v>
      </c>
      <c r="H30" s="11" t="s">
        <v>147</v>
      </c>
      <c r="I30" s="9" t="s">
        <v>56</v>
      </c>
    </row>
    <row r="31" spans="1:9" x14ac:dyDescent="0.3">
      <c r="A31" s="8">
        <v>6</v>
      </c>
      <c r="B31" s="9" t="s">
        <v>10</v>
      </c>
      <c r="C31" s="10" t="s">
        <v>148</v>
      </c>
      <c r="D31" t="str">
        <f t="shared" si="0"/>
        <v>Tender Review</v>
      </c>
      <c r="E31" s="10" t="s">
        <v>149</v>
      </c>
      <c r="F31" s="10">
        <v>14</v>
      </c>
      <c r="G31" s="11" t="s">
        <v>43</v>
      </c>
      <c r="H31" s="11" t="s">
        <v>150</v>
      </c>
      <c r="I31" s="9" t="s">
        <v>56</v>
      </c>
    </row>
    <row r="32" spans="1:9" x14ac:dyDescent="0.3">
      <c r="A32" s="8">
        <v>6</v>
      </c>
      <c r="B32" s="9" t="s">
        <v>10</v>
      </c>
      <c r="C32" s="10" t="s">
        <v>151</v>
      </c>
      <c r="D32" t="str">
        <f t="shared" si="0"/>
        <v>Contracting</v>
      </c>
      <c r="E32" s="10" t="s">
        <v>152</v>
      </c>
      <c r="F32" s="10">
        <v>14</v>
      </c>
      <c r="G32" s="11" t="s">
        <v>34</v>
      </c>
      <c r="H32" s="11" t="s">
        <v>100</v>
      </c>
      <c r="I32" s="9" t="s">
        <v>56</v>
      </c>
    </row>
    <row r="33" spans="1:9" x14ac:dyDescent="0.3">
      <c r="A33" s="8">
        <v>6</v>
      </c>
      <c r="B33" s="9" t="s">
        <v>11</v>
      </c>
      <c r="C33" s="10" t="s">
        <v>153</v>
      </c>
      <c r="D33" t="str">
        <f t="shared" si="0"/>
        <v>Site Establishment</v>
      </c>
      <c r="E33" s="10" t="s">
        <v>154</v>
      </c>
      <c r="F33" s="10">
        <v>14</v>
      </c>
      <c r="G33" s="11" t="s">
        <v>19</v>
      </c>
      <c r="H33" s="11" t="s">
        <v>155</v>
      </c>
      <c r="I33" s="9" t="s">
        <v>56</v>
      </c>
    </row>
    <row r="34" spans="1:9" x14ac:dyDescent="0.3">
      <c r="A34" s="8">
        <v>6</v>
      </c>
      <c r="B34" s="9" t="s">
        <v>11</v>
      </c>
      <c r="C34" s="10" t="s">
        <v>156</v>
      </c>
      <c r="D34" t="str">
        <f t="shared" si="0"/>
        <v>Structure</v>
      </c>
      <c r="E34" s="10" t="s">
        <v>157</v>
      </c>
      <c r="F34" s="10">
        <v>14</v>
      </c>
      <c r="G34" s="11" t="s">
        <v>23</v>
      </c>
      <c r="H34" s="11" t="s">
        <v>158</v>
      </c>
      <c r="I34" s="9" t="s">
        <v>56</v>
      </c>
    </row>
    <row r="35" spans="1:9" x14ac:dyDescent="0.3">
      <c r="A35" s="8">
        <v>6</v>
      </c>
      <c r="B35" s="9" t="s">
        <v>11</v>
      </c>
      <c r="C35" s="10" t="s">
        <v>159</v>
      </c>
      <c r="D35" t="str">
        <f t="shared" si="0"/>
        <v>Façade</v>
      </c>
      <c r="E35" s="10" t="s">
        <v>160</v>
      </c>
      <c r="F35" s="10">
        <v>14</v>
      </c>
      <c r="G35" s="11" t="s">
        <v>21</v>
      </c>
      <c r="H35" s="11" t="s">
        <v>161</v>
      </c>
      <c r="I35" s="9" t="s">
        <v>56</v>
      </c>
    </row>
    <row r="36" spans="1:9" x14ac:dyDescent="0.3">
      <c r="A36" s="8">
        <v>6</v>
      </c>
      <c r="B36" s="9" t="s">
        <v>11</v>
      </c>
      <c r="C36" s="10" t="s">
        <v>136</v>
      </c>
      <c r="D36" t="str">
        <f t="shared" si="0"/>
        <v>Services</v>
      </c>
      <c r="E36" s="10" t="s">
        <v>162</v>
      </c>
      <c r="F36" s="10">
        <v>14</v>
      </c>
      <c r="G36" s="11" t="s">
        <v>38</v>
      </c>
      <c r="H36" s="11" t="s">
        <v>163</v>
      </c>
      <c r="I36" s="9" t="s">
        <v>56</v>
      </c>
    </row>
    <row r="37" spans="1:9" x14ac:dyDescent="0.3">
      <c r="A37" s="8">
        <v>6</v>
      </c>
      <c r="B37" s="9" t="s">
        <v>11</v>
      </c>
      <c r="C37" s="10" t="s">
        <v>164</v>
      </c>
      <c r="D37" t="str">
        <f t="shared" si="0"/>
        <v>Contract Admin</v>
      </c>
      <c r="E37" s="10" t="s">
        <v>165</v>
      </c>
      <c r="F37" s="10">
        <v>14</v>
      </c>
      <c r="G37" s="11" t="s">
        <v>47</v>
      </c>
      <c r="H37" s="11" t="s">
        <v>166</v>
      </c>
      <c r="I37" s="9" t="s">
        <v>56</v>
      </c>
    </row>
    <row r="38" spans="1:9" x14ac:dyDescent="0.3">
      <c r="A38" s="8">
        <v>7</v>
      </c>
      <c r="B38" s="9" t="s">
        <v>12</v>
      </c>
      <c r="C38" s="10" t="s">
        <v>167</v>
      </c>
      <c r="D38" t="str">
        <f t="shared" si="0"/>
        <v>Commissioning</v>
      </c>
      <c r="E38" s="10" t="s">
        <v>168</v>
      </c>
      <c r="F38" s="10">
        <v>14</v>
      </c>
      <c r="G38" s="11" t="s">
        <v>26</v>
      </c>
      <c r="H38" s="11" t="s">
        <v>169</v>
      </c>
      <c r="I38" s="9" t="s">
        <v>56</v>
      </c>
    </row>
    <row r="39" spans="1:9" x14ac:dyDescent="0.3">
      <c r="A39" s="8">
        <v>7</v>
      </c>
      <c r="B39" s="9" t="s">
        <v>12</v>
      </c>
      <c r="C39" s="10" t="s">
        <v>170</v>
      </c>
      <c r="D39" t="str">
        <f t="shared" si="0"/>
        <v>Compliance</v>
      </c>
      <c r="E39" s="10" t="s">
        <v>171</v>
      </c>
      <c r="F39" s="10">
        <v>14</v>
      </c>
      <c r="G39" s="11" t="s">
        <v>40</v>
      </c>
      <c r="H39" s="11" t="s">
        <v>172</v>
      </c>
      <c r="I39" s="9" t="s">
        <v>56</v>
      </c>
    </row>
    <row r="40" spans="1:9" x14ac:dyDescent="0.3">
      <c r="A40" s="8">
        <v>7</v>
      </c>
      <c r="B40" s="9" t="s">
        <v>12</v>
      </c>
      <c r="C40" s="10" t="s">
        <v>173</v>
      </c>
      <c r="D40" t="str">
        <f t="shared" si="0"/>
        <v>Handover</v>
      </c>
      <c r="E40" s="10" t="s">
        <v>174</v>
      </c>
      <c r="F40" s="10">
        <v>14</v>
      </c>
      <c r="G40" s="11" t="s">
        <v>20</v>
      </c>
      <c r="H40" s="11" t="s">
        <v>175</v>
      </c>
      <c r="I40" s="9" t="s">
        <v>56</v>
      </c>
    </row>
    <row r="41" spans="1:9" x14ac:dyDescent="0.3">
      <c r="A41" s="8">
        <v>7</v>
      </c>
      <c r="B41" s="9" t="s">
        <v>12</v>
      </c>
      <c r="C41" s="10" t="s">
        <v>176</v>
      </c>
      <c r="D41" t="str">
        <f t="shared" si="0"/>
        <v>Occupancy</v>
      </c>
      <c r="E41" s="10" t="s">
        <v>177</v>
      </c>
      <c r="F41" s="10">
        <v>14</v>
      </c>
      <c r="G41" s="11" t="s">
        <v>24</v>
      </c>
      <c r="H41" s="11" t="s">
        <v>178</v>
      </c>
      <c r="I41" s="9" t="s">
        <v>56</v>
      </c>
    </row>
    <row r="42" spans="1:9" x14ac:dyDescent="0.3">
      <c r="A42" s="8">
        <v>8</v>
      </c>
      <c r="B42" s="9" t="s">
        <v>13</v>
      </c>
      <c r="C42" s="10" t="s">
        <v>179</v>
      </c>
      <c r="D42" t="str">
        <f t="shared" si="0"/>
        <v>Subdivision</v>
      </c>
      <c r="E42" s="10" t="s">
        <v>180</v>
      </c>
      <c r="F42" s="10">
        <v>14</v>
      </c>
      <c r="G42" s="11" t="s">
        <v>48</v>
      </c>
      <c r="H42" s="11" t="s">
        <v>181</v>
      </c>
      <c r="I42" s="9" t="s">
        <v>56</v>
      </c>
    </row>
    <row r="43" spans="1:9" x14ac:dyDescent="0.3">
      <c r="A43" s="8">
        <v>8</v>
      </c>
      <c r="B43" s="9" t="s">
        <v>13</v>
      </c>
      <c r="C43" s="10" t="s">
        <v>182</v>
      </c>
      <c r="D43" t="str">
        <f t="shared" si="0"/>
        <v>Strata</v>
      </c>
      <c r="E43" s="10" t="s">
        <v>183</v>
      </c>
      <c r="F43" s="10">
        <v>14</v>
      </c>
      <c r="G43" s="11" t="s">
        <v>45</v>
      </c>
      <c r="H43" s="11" t="s">
        <v>184</v>
      </c>
      <c r="I43" s="9" t="s">
        <v>56</v>
      </c>
    </row>
    <row r="44" spans="1:9" x14ac:dyDescent="0.3">
      <c r="A44" s="8">
        <v>8</v>
      </c>
      <c r="B44" s="9" t="s">
        <v>13</v>
      </c>
      <c r="C44" s="10" t="s">
        <v>185</v>
      </c>
      <c r="D44" t="str">
        <f t="shared" si="0"/>
        <v>Leasing</v>
      </c>
      <c r="E44" s="10" t="s">
        <v>186</v>
      </c>
      <c r="F44" s="10">
        <v>14</v>
      </c>
      <c r="G44" s="11" t="s">
        <v>4</v>
      </c>
      <c r="H44" s="11" t="s">
        <v>187</v>
      </c>
      <c r="I44" s="9" t="s">
        <v>56</v>
      </c>
    </row>
    <row r="45" spans="1:9" x14ac:dyDescent="0.3">
      <c r="A45" s="8">
        <v>9</v>
      </c>
      <c r="B45" s="9" t="s">
        <v>14</v>
      </c>
      <c r="C45" s="10" t="s">
        <v>188</v>
      </c>
      <c r="D45" t="str">
        <f t="shared" si="0"/>
        <v>Defects</v>
      </c>
      <c r="E45" s="10" t="s">
        <v>189</v>
      </c>
      <c r="F45" s="10">
        <v>14</v>
      </c>
      <c r="G45" s="11" t="s">
        <v>22</v>
      </c>
      <c r="H45" s="11" t="s">
        <v>190</v>
      </c>
      <c r="I45" s="9" t="s">
        <v>56</v>
      </c>
    </row>
    <row r="46" spans="1:9" x14ac:dyDescent="0.3">
      <c r="A46" s="8">
        <v>9</v>
      </c>
      <c r="B46" s="9" t="s">
        <v>14</v>
      </c>
      <c r="C46" s="10" t="s">
        <v>191</v>
      </c>
      <c r="D46" t="str">
        <f t="shared" si="0"/>
        <v>Tuning</v>
      </c>
      <c r="E46" s="10" t="s">
        <v>192</v>
      </c>
      <c r="F46" s="10">
        <v>14</v>
      </c>
      <c r="G46" s="11" t="s">
        <v>37</v>
      </c>
      <c r="H46" s="11" t="s">
        <v>193</v>
      </c>
      <c r="I46" s="9" t="s">
        <v>56</v>
      </c>
    </row>
    <row r="47" spans="1:9" x14ac:dyDescent="0.3">
      <c r="A47" s="8">
        <v>9</v>
      </c>
      <c r="B47" s="9" t="s">
        <v>14</v>
      </c>
      <c r="C47" s="10" t="s">
        <v>194</v>
      </c>
      <c r="D47" t="str">
        <f t="shared" si="0"/>
        <v>Stabilisation</v>
      </c>
      <c r="E47" s="10" t="s">
        <v>195</v>
      </c>
      <c r="F47" s="10">
        <v>14</v>
      </c>
      <c r="G47" s="11" t="s">
        <v>18</v>
      </c>
      <c r="H47" s="11" t="s">
        <v>196</v>
      </c>
      <c r="I47" s="9" t="s">
        <v>56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cols>
    <col min="1" max="1" width="15" customWidth="1"/>
    <col min="2" max="2" width="40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6</v>
      </c>
    </row>
    <row r="4" spans="1:2" x14ac:dyDescent="0.3">
      <c r="A4">
        <v>3</v>
      </c>
      <c r="B4" t="s">
        <v>7</v>
      </c>
    </row>
    <row r="5" spans="1:2" x14ac:dyDescent="0.3">
      <c r="A5">
        <v>4</v>
      </c>
      <c r="B5" t="s">
        <v>8</v>
      </c>
    </row>
    <row r="6" spans="1:2" x14ac:dyDescent="0.3">
      <c r="A6">
        <v>5</v>
      </c>
      <c r="B6" t="s">
        <v>9</v>
      </c>
    </row>
    <row r="7" spans="1:2" x14ac:dyDescent="0.3">
      <c r="A7">
        <v>6</v>
      </c>
      <c r="B7" t="s">
        <v>10</v>
      </c>
    </row>
    <row r="8" spans="1:2" x14ac:dyDescent="0.3">
      <c r="A8">
        <v>7</v>
      </c>
      <c r="B8" t="s">
        <v>11</v>
      </c>
    </row>
    <row r="9" spans="1:2" x14ac:dyDescent="0.3">
      <c r="A9">
        <v>8</v>
      </c>
      <c r="B9" t="s">
        <v>12</v>
      </c>
    </row>
    <row r="10" spans="1:2" x14ac:dyDescent="0.3">
      <c r="A10">
        <v>9</v>
      </c>
      <c r="B10" t="s">
        <v>13</v>
      </c>
    </row>
    <row r="11" spans="1:2" x14ac:dyDescent="0.3">
      <c r="A11">
        <v>10</v>
      </c>
      <c r="B11" t="s">
        <v>14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"/>
  <sheetViews>
    <sheetView workbookViewId="0"/>
  </sheetViews>
  <sheetFormatPr defaultRowHeight="14.4" x14ac:dyDescent="0.3"/>
  <cols>
    <col min="1" max="1" width="8" customWidth="1"/>
    <col min="2" max="2" width="40" customWidth="1"/>
  </cols>
  <sheetData>
    <row r="1" spans="1:2" s="1" customFormat="1" x14ac:dyDescent="0.3">
      <c r="A1" s="1" t="s">
        <v>15</v>
      </c>
      <c r="B1" s="1" t="s">
        <v>16</v>
      </c>
    </row>
    <row r="2" spans="1:2" x14ac:dyDescent="0.3">
      <c r="A2">
        <v>1</v>
      </c>
      <c r="B2" t="s">
        <v>4</v>
      </c>
    </row>
    <row r="3" spans="1:2" x14ac:dyDescent="0.3">
      <c r="A3">
        <v>2</v>
      </c>
      <c r="B3" t="s">
        <v>17</v>
      </c>
    </row>
    <row r="4" spans="1:2" x14ac:dyDescent="0.3">
      <c r="A4">
        <v>3</v>
      </c>
      <c r="B4" t="s">
        <v>18</v>
      </c>
    </row>
    <row r="5" spans="1:2" x14ac:dyDescent="0.3">
      <c r="A5">
        <v>4</v>
      </c>
      <c r="B5" t="s">
        <v>19</v>
      </c>
    </row>
    <row r="6" spans="1:2" x14ac:dyDescent="0.3">
      <c r="A6">
        <v>5</v>
      </c>
      <c r="B6" t="s">
        <v>20</v>
      </c>
    </row>
    <row r="7" spans="1:2" x14ac:dyDescent="0.3">
      <c r="A7">
        <v>6</v>
      </c>
      <c r="B7" t="s">
        <v>21</v>
      </c>
    </row>
    <row r="8" spans="1:2" x14ac:dyDescent="0.3">
      <c r="A8">
        <v>7</v>
      </c>
      <c r="B8" t="s">
        <v>22</v>
      </c>
    </row>
    <row r="9" spans="1:2" x14ac:dyDescent="0.3">
      <c r="A9">
        <v>8</v>
      </c>
      <c r="B9" t="s">
        <v>23</v>
      </c>
    </row>
    <row r="10" spans="1:2" x14ac:dyDescent="0.3">
      <c r="A10">
        <v>9</v>
      </c>
      <c r="B10" t="s">
        <v>24</v>
      </c>
    </row>
    <row r="11" spans="1:2" x14ac:dyDescent="0.3">
      <c r="A11">
        <v>10</v>
      </c>
      <c r="B11" t="s">
        <v>25</v>
      </c>
    </row>
    <row r="12" spans="1:2" x14ac:dyDescent="0.3">
      <c r="A12">
        <v>11</v>
      </c>
      <c r="B12" t="s">
        <v>26</v>
      </c>
    </row>
    <row r="13" spans="1:2" x14ac:dyDescent="0.3">
      <c r="A13">
        <v>12</v>
      </c>
      <c r="B13" t="s">
        <v>27</v>
      </c>
    </row>
    <row r="14" spans="1:2" x14ac:dyDescent="0.3">
      <c r="A14">
        <v>13</v>
      </c>
      <c r="B14" t="s">
        <v>28</v>
      </c>
    </row>
    <row r="15" spans="1:2" x14ac:dyDescent="0.3">
      <c r="A15">
        <v>14</v>
      </c>
      <c r="B15" t="s">
        <v>29</v>
      </c>
    </row>
    <row r="16" spans="1:2" x14ac:dyDescent="0.3">
      <c r="A16">
        <v>15</v>
      </c>
      <c r="B16" t="s">
        <v>30</v>
      </c>
    </row>
    <row r="17" spans="1:2" x14ac:dyDescent="0.3">
      <c r="A17">
        <v>16</v>
      </c>
      <c r="B17" t="s">
        <v>31</v>
      </c>
    </row>
    <row r="18" spans="1:2" x14ac:dyDescent="0.3">
      <c r="A18">
        <v>17</v>
      </c>
      <c r="B18" t="s">
        <v>32</v>
      </c>
    </row>
    <row r="19" spans="1:2" x14ac:dyDescent="0.3">
      <c r="A19">
        <v>18</v>
      </c>
      <c r="B19" t="s">
        <v>33</v>
      </c>
    </row>
    <row r="20" spans="1:2" x14ac:dyDescent="0.3">
      <c r="A20">
        <v>19</v>
      </c>
      <c r="B20" t="s">
        <v>34</v>
      </c>
    </row>
    <row r="21" spans="1:2" x14ac:dyDescent="0.3">
      <c r="A21">
        <v>20</v>
      </c>
      <c r="B21" t="s">
        <v>35</v>
      </c>
    </row>
    <row r="22" spans="1:2" x14ac:dyDescent="0.3">
      <c r="A22">
        <v>21</v>
      </c>
      <c r="B22" t="s">
        <v>36</v>
      </c>
    </row>
    <row r="23" spans="1:2" x14ac:dyDescent="0.3">
      <c r="A23">
        <v>22</v>
      </c>
      <c r="B23" t="s">
        <v>37</v>
      </c>
    </row>
    <row r="24" spans="1:2" x14ac:dyDescent="0.3">
      <c r="A24">
        <v>23</v>
      </c>
      <c r="B24" t="s">
        <v>38</v>
      </c>
    </row>
    <row r="25" spans="1:2" x14ac:dyDescent="0.3">
      <c r="A25">
        <v>24</v>
      </c>
      <c r="B25" t="s">
        <v>39</v>
      </c>
    </row>
    <row r="26" spans="1:2" x14ac:dyDescent="0.3">
      <c r="A26">
        <v>25</v>
      </c>
      <c r="B26" t="s">
        <v>40</v>
      </c>
    </row>
    <row r="27" spans="1:2" x14ac:dyDescent="0.3">
      <c r="A27">
        <v>26</v>
      </c>
      <c r="B27" t="s">
        <v>41</v>
      </c>
    </row>
    <row r="28" spans="1:2" x14ac:dyDescent="0.3">
      <c r="A28">
        <v>27</v>
      </c>
      <c r="B28" t="s">
        <v>42</v>
      </c>
    </row>
    <row r="29" spans="1:2" x14ac:dyDescent="0.3">
      <c r="A29">
        <v>28</v>
      </c>
      <c r="B29" t="s">
        <v>43</v>
      </c>
    </row>
    <row r="30" spans="1:2" x14ac:dyDescent="0.3">
      <c r="A30">
        <v>29</v>
      </c>
      <c r="B30" t="s">
        <v>44</v>
      </c>
    </row>
    <row r="31" spans="1:2" x14ac:dyDescent="0.3">
      <c r="A31">
        <v>30</v>
      </c>
      <c r="B31" t="s">
        <v>45</v>
      </c>
    </row>
    <row r="32" spans="1:2" x14ac:dyDescent="0.3">
      <c r="A32">
        <v>31</v>
      </c>
      <c r="B32" t="s">
        <v>46</v>
      </c>
    </row>
    <row r="33" spans="1:2" x14ac:dyDescent="0.3">
      <c r="A33">
        <v>32</v>
      </c>
      <c r="B33" t="s">
        <v>47</v>
      </c>
    </row>
    <row r="34" spans="1:2" x14ac:dyDescent="0.3">
      <c r="A34">
        <v>33</v>
      </c>
      <c r="B34" t="s">
        <v>48</v>
      </c>
    </row>
    <row r="35" spans="1:2" x14ac:dyDescent="0.3">
      <c r="A35">
        <v>34</v>
      </c>
      <c r="B35" t="s">
        <v>49</v>
      </c>
    </row>
    <row r="36" spans="1:2" x14ac:dyDescent="0.3">
      <c r="A36">
        <v>35</v>
      </c>
      <c r="B36" t="s">
        <v>50</v>
      </c>
    </row>
    <row r="37" spans="1:2" x14ac:dyDescent="0.3">
      <c r="A37">
        <v>36</v>
      </c>
      <c r="B37" t="s">
        <v>51</v>
      </c>
    </row>
    <row r="38" spans="1:2" x14ac:dyDescent="0.3">
      <c r="A38">
        <v>37</v>
      </c>
      <c r="B38" t="s">
        <v>52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4.4" x14ac:dyDescent="0.3"/>
  <cols>
    <col min="1" max="1" width="30" customWidth="1"/>
  </cols>
  <sheetData>
    <row r="1" spans="1:1" s="1" customFormat="1" x14ac:dyDescent="0.3">
      <c r="A1" s="1" t="s">
        <v>53</v>
      </c>
    </row>
    <row r="2" spans="1:1" x14ac:dyDescent="0.3">
      <c r="A2" t="s">
        <v>5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Activities</vt:lpstr>
      <vt:lpstr>Reference - Stages</vt:lpstr>
      <vt:lpstr>Reference - Consultants</vt:lpstr>
      <vt:lpstr>Reference - Phases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2026-02-09T07:50:01Z</dcterms:created>
  <dcterms:modified xsi:type="dcterms:W3CDTF">2026-02-09T07:53:04Z</dcterms:modified>
  <cp:category/>
</cp:coreProperties>
</file>